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30326"/>
  <workbookPr/>
  <mc:AlternateContent xmlns:mc="http://schemas.openxmlformats.org/markup-compatibility/2006">
    <mc:Choice Requires="x15">
      <x15ac:absPath xmlns:x15ac="http://schemas.microsoft.com/office/spreadsheetml/2010/11/ac" url="https://d.docs.live.net/a8c7f3bbda51809a/Desktop/财务系统制作/"/>
    </mc:Choice>
  </mc:AlternateContent>
  <xr:revisionPtr revIDLastSave="20" documentId="8_{5208D20C-4B0F-4E07-AFF6-768282E82684}" xr6:coauthVersionLast="47" xr6:coauthVersionMax="47" xr10:uidLastSave="{AB0FC105-2060-4FEE-86EB-F489A436D0E9}"/>
  <bookViews>
    <workbookView xWindow="-110" yWindow="-110" windowWidth="25820" windowHeight="15500" tabRatio="712" xr2:uid="{00000000-000D-0000-FFFF-FFFF00000000}"/>
  </bookViews>
  <sheets>
    <sheet name="利润20%" sheetId="4" r:id="rId1"/>
    <sheet name="Defer 延付利息（待确认）" sheetId="2" r:id="rId2"/>
  </sheets>
  <definedNames>
    <definedName name="_xlnm._FilterDatabase" localSheetId="1" hidden="1">'Defer 延付利息（待确认）'!$F$1:$F$2</definedName>
    <definedName name="_xlnm._FilterDatabase" localSheetId="0" hidden="1">'利润20%'!$A$1:$AO$4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U6" i="2" l="1"/>
  <c r="O6" i="2"/>
  <c r="Q6" i="2" s="1"/>
  <c r="K6" i="2"/>
  <c r="U5" i="2"/>
  <c r="O5" i="2"/>
  <c r="T5" i="2" s="1"/>
  <c r="K5" i="2"/>
  <c r="U4" i="2"/>
  <c r="O4" i="2"/>
  <c r="R4" i="2" s="1"/>
  <c r="K4" i="2"/>
  <c r="U3" i="2"/>
  <c r="O3" i="2"/>
  <c r="T3" i="2" s="1"/>
  <c r="K3" i="2"/>
  <c r="O4" i="4"/>
  <c r="T4" i="4" s="1"/>
  <c r="K4" i="4"/>
  <c r="T3" i="4"/>
  <c r="P3" i="4"/>
  <c r="Q3" i="4" s="1"/>
  <c r="R3" i="4" s="1"/>
  <c r="O3" i="4"/>
  <c r="K3" i="4"/>
  <c r="R5" i="2" l="1"/>
  <c r="W5" i="2"/>
  <c r="X5" i="2" s="1"/>
  <c r="Q4" i="2"/>
  <c r="W4" i="2"/>
  <c r="W6" i="2"/>
  <c r="U4" i="4"/>
  <c r="V4" i="4" s="1"/>
  <c r="W4" i="4"/>
  <c r="Q4" i="4"/>
  <c r="R4" i="4" s="1"/>
  <c r="W3" i="4"/>
  <c r="W3" i="2"/>
  <c r="Y3" i="2" s="1"/>
  <c r="T4" i="2"/>
  <c r="Y6" i="2"/>
  <c r="Y4" i="2"/>
  <c r="X4" i="2"/>
  <c r="Y5" i="2"/>
  <c r="U3" i="4"/>
  <c r="V3" i="4" s="1"/>
  <c r="R6" i="2"/>
  <c r="T6" i="2"/>
  <c r="X6" i="2"/>
  <c r="Q5" i="2"/>
  <c r="Q3" i="2"/>
  <c r="R3" i="2"/>
  <c r="X3" i="2" l="1"/>
</calcChain>
</file>

<file path=xl/sharedStrings.xml><?xml version="1.0" encoding="utf-8"?>
<sst xmlns="http://schemas.openxmlformats.org/spreadsheetml/2006/main" count="105" uniqueCount="78">
  <si>
    <t>No.</t>
  </si>
  <si>
    <t>Company</t>
  </si>
  <si>
    <t>Remarks</t>
  </si>
  <si>
    <t>Invoice No.</t>
  </si>
  <si>
    <t>Client Name</t>
  </si>
  <si>
    <t>FC</t>
  </si>
  <si>
    <t>Platform</t>
  </si>
  <si>
    <t>A/C</t>
  </si>
  <si>
    <t>Starting date</t>
  </si>
  <si>
    <t>Days</t>
  </si>
  <si>
    <t xml:space="preserve">Beginning </t>
  </si>
  <si>
    <t xml:space="preserve">Contribution </t>
  </si>
  <si>
    <t>Withdrawal</t>
  </si>
  <si>
    <t>Net Contribution</t>
  </si>
  <si>
    <t>Closing</t>
  </si>
  <si>
    <t>Gain/Loss</t>
  </si>
  <si>
    <t xml:space="preserve">Period rate of return </t>
  </si>
  <si>
    <t>The Original  High Water Mark</t>
  </si>
  <si>
    <t>Adjusted High Water Mark</t>
  </si>
  <si>
    <t>above the watermark</t>
  </si>
  <si>
    <t>Service fee</t>
  </si>
  <si>
    <t>High Water Mark in the next period</t>
  </si>
  <si>
    <t>Issue Date</t>
  </si>
  <si>
    <t>Payment due date</t>
  </si>
  <si>
    <t>P</t>
  </si>
  <si>
    <t>A</t>
  </si>
  <si>
    <t>B</t>
  </si>
  <si>
    <t>C</t>
  </si>
  <si>
    <t>D=B-C</t>
  </si>
  <si>
    <t>E</t>
  </si>
  <si>
    <t>H</t>
  </si>
  <si>
    <t xml:space="preserve">I=H+D </t>
  </si>
  <si>
    <t>J=E-I</t>
  </si>
  <si>
    <t>N=MAX(I,E)</t>
  </si>
  <si>
    <t>例子</t>
  </si>
  <si>
    <t>Period</t>
  </si>
  <si>
    <t>Average Balance</t>
  </si>
  <si>
    <t>Benchmark Return Rate</t>
  </si>
  <si>
    <t>Benchmark Index Amount</t>
  </si>
  <si>
    <t>Service Fee</t>
  </si>
  <si>
    <t>Closing Date</t>
  </si>
  <si>
    <t>F=E-A-D</t>
  </si>
  <si>
    <t>G=(E-H-D)/((A+E)/2)</t>
  </si>
  <si>
    <t>J=(E+H)/2</t>
  </si>
  <si>
    <t>K</t>
  </si>
  <si>
    <t>L=J*K/365*P</t>
  </si>
  <si>
    <t>M=E-I-L</t>
  </si>
  <si>
    <t>N=MAX(E, H+D+L)</t>
  </si>
  <si>
    <t>Q1</t>
  </si>
  <si>
    <t>Q2</t>
  </si>
  <si>
    <t>Q3</t>
  </si>
  <si>
    <t>Q4</t>
  </si>
  <si>
    <t>Invoice No.</t>
    <phoneticPr fontId="14" type="noConversion"/>
  </si>
  <si>
    <t>要看客户是不是季度处开始的，还是交给我们开始管理的日期</t>
    <phoneticPr fontId="14" type="noConversion"/>
  </si>
  <si>
    <t>月供款 一般每个月都有 加款 不定时 大笔</t>
    <phoneticPr fontId="14" type="noConversion"/>
  </si>
  <si>
    <t>取款 发生必须加批注 必须有对应的凭证</t>
    <phoneticPr fontId="14" type="noConversion"/>
  </si>
  <si>
    <t>加供 不定时 要有凭证 大笔 要批注 几号加进来的 用的什么户口 加款多少钱</t>
    <phoneticPr fontId="14" type="noConversion"/>
  </si>
  <si>
    <t>净公款</t>
    <phoneticPr fontId="14" type="noConversion"/>
  </si>
  <si>
    <t>Closing date</t>
    <phoneticPr fontId="14" type="noConversion"/>
  </si>
  <si>
    <t>季度末结余 根据凭证 如果客人转走计划 要在Closing date填写对应结束日期</t>
    <phoneticPr fontId="14" type="noConversion"/>
  </si>
  <si>
    <t>成人码</t>
    <phoneticPr fontId="14" type="noConversion"/>
  </si>
  <si>
    <t>中介人</t>
    <phoneticPr fontId="14" type="noConversion"/>
  </si>
  <si>
    <t>账单编号 看隶属与哪个子公司</t>
    <phoneticPr fontId="14" type="noConversion"/>
  </si>
  <si>
    <t>格式AAA（子公司名）-TW(中介人首字母，例如这里tony 吴）-202608（日期）-001（编号，依据子公司名字 和中介人名字进行来编辑）</t>
    <phoneticPr fontId="14" type="noConversion"/>
  </si>
  <si>
    <t>高水位线 账户曾经资金最多的数额 按每一期来结算 本期账单的原始高水位 来源上期账单的高水位 如果这个客人是本期开始管理 那就是本期开始管理的金额</t>
    <phoneticPr fontId="14" type="noConversion"/>
  </si>
  <si>
    <t>调整后高水位 本期高水位＋净公款</t>
    <phoneticPr fontId="14" type="noConversion"/>
  </si>
  <si>
    <t>本期盈利</t>
    <phoneticPr fontId="14" type="noConversion"/>
  </si>
  <si>
    <t>真实盈利 根据高水位</t>
    <phoneticPr fontId="14" type="noConversion"/>
  </si>
  <si>
    <t>设计系统 1能自动填入excel 以及导出填写完资料后的excel 软件出来 还能填入账单 2最后会产出账单 账单会给客人展示 你的钱怎么变动 这笔钱怎么算出来的 如何缴费（1转账打给哪家户口 2寄支票 地址）3要用跟进系统 是否收到款项 要有凭证的保存系统 有根据客人凭证编号统一的命名格式 4所有数据需要联网 有个联网数据库 有保存的账单和凭证</t>
    <phoneticPr fontId="14" type="noConversion"/>
  </si>
  <si>
    <t>Closing</t>
    <phoneticPr fontId="14" type="noConversion"/>
  </si>
  <si>
    <t xml:space="preserve"> F=E-A-D</t>
    <phoneticPr fontId="14" type="noConversion"/>
  </si>
  <si>
    <t>参加同一个收费计划 就一起核算</t>
    <phoneticPr fontId="14" type="noConversion"/>
  </si>
  <si>
    <t>K=J*20%</t>
    <phoneticPr fontId="14" type="noConversion"/>
  </si>
  <si>
    <t>1同平台 同一个收费计划 多户口 一起结算</t>
    <phoneticPr fontId="14" type="noConversion"/>
  </si>
  <si>
    <t>1不同平台 同一个收费计划 多户口 一起结算</t>
    <phoneticPr fontId="14" type="noConversion"/>
  </si>
  <si>
    <t>G=F/(A+D)</t>
    <phoneticPr fontId="14" type="noConversion"/>
  </si>
  <si>
    <t>Issue Date</t>
    <phoneticPr fontId="14" type="noConversion"/>
  </si>
  <si>
    <t>Payment due date</t>
    <phoneticPr fontId="14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</si>
</sst>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0">
    <numFmt numFmtId="43" formatCode="_ * #,##0.00_ ;_ * \-#,##0.00_ ;_ * &quot;-&quot;??_ ;_ @_ "/>
    <numFmt numFmtId="26" formatCode="\$#,##0.00_);[Red]\(\$#,##0.00\)"/>
    <numFmt numFmtId="176" formatCode="_-* #,##0.00_-;\-* #,##0.00_-;_-* &quot;-&quot;??_-;_-@_-"/>
    <numFmt numFmtId="177" formatCode="#,##0;[Red]#,##0"/>
    <numFmt numFmtId="178" formatCode="dd/mm/yy;@"/>
    <numFmt numFmtId="179" formatCode="_-* #,##0_-;\-* #,##0_-;_-* &quot;-&quot;??_-;_-@_-"/>
    <numFmt numFmtId="180" formatCode="#,##0.00_);[Red]\(#,##0.00\)"/>
    <numFmt numFmtId="181" formatCode="0.00_ "/>
    <numFmt numFmtId="182" formatCode="yyyy/mm/dd;@"/>
    <numFmt numFmtId="183" formatCode="\$#,##0.00;[Red]\-\$#,##0.00"/>
  </numFmts>
  <fonts count="15">
    <font>
      <sz val="11"/>
      <color theme="1"/>
      <name val="宋体"/>
      <charset val="134"/>
      <scheme val="minor"/>
    </font>
    <font>
      <sz val="10"/>
      <color theme="1"/>
      <name val="宋体"/>
      <charset val="134"/>
      <scheme val="minor"/>
    </font>
    <font>
      <sz val="10"/>
      <color theme="1"/>
      <name val="Arial Unicode MS"/>
      <family val="2"/>
    </font>
    <font>
      <b/>
      <sz val="10"/>
      <color rgb="FFFF0000"/>
      <name val="Arial Unicode MS"/>
      <family val="2"/>
    </font>
    <font>
      <b/>
      <sz val="10"/>
      <name val="Arial Unicode MS"/>
      <family val="2"/>
    </font>
    <font>
      <b/>
      <sz val="10"/>
      <color theme="1"/>
      <name val="Arial Unicode MS"/>
      <family val="2"/>
    </font>
    <font>
      <b/>
      <sz val="11"/>
      <color theme="1"/>
      <name val="Arial Unicode MS"/>
      <family val="2"/>
    </font>
    <font>
      <sz val="11"/>
      <color theme="1"/>
      <name val="Arial Unicode MS"/>
      <family val="2"/>
    </font>
    <font>
      <sz val="20"/>
      <color rgb="FFFF0000"/>
      <name val="Arial Unicode MS"/>
      <family val="2"/>
    </font>
    <font>
      <sz val="11"/>
      <color rgb="FF000000"/>
      <name val="Arial Unicode MS"/>
      <family val="2"/>
    </font>
    <font>
      <sz val="22"/>
      <color rgb="FFFF0000"/>
      <name val="Arial Unicode MS"/>
      <family val="2"/>
    </font>
    <font>
      <b/>
      <sz val="11"/>
      <color rgb="FFFF0000"/>
      <name val="宋体"/>
      <family val="3"/>
      <charset val="134"/>
      <scheme val="minor"/>
    </font>
    <font>
      <sz val="11"/>
      <color theme="1"/>
      <name val="宋体"/>
      <family val="3"/>
      <charset val="134"/>
      <scheme val="minor"/>
    </font>
    <font>
      <sz val="11"/>
      <color theme="1"/>
      <name val="宋体"/>
      <family val="3"/>
      <charset val="134"/>
      <scheme val="minor"/>
    </font>
    <font>
      <sz val="9"/>
      <name val="宋体"/>
      <family val="3"/>
      <charset val="134"/>
      <scheme val="minor"/>
    </font>
  </fonts>
  <fills count="6">
    <fill>
      <patternFill patternType="none"/>
    </fill>
    <fill>
      <patternFill patternType="gray125"/>
    </fill>
    <fill>
      <patternFill patternType="solid">
        <fgColor theme="0" tint="-0.249977111117893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8" tint="0.59999389629810485"/>
        <bgColor indexed="64"/>
      </patternFill>
    </fill>
  </fills>
  <borders count="10">
    <border>
      <left/>
      <right/>
      <top/>
      <bottom/>
      <diagonal/>
    </border>
    <border>
      <left style="thin">
        <color auto="1"/>
      </left>
      <right/>
      <top style="thin">
        <color auto="1"/>
      </top>
      <bottom/>
      <diagonal/>
    </border>
    <border>
      <left style="medium">
        <color auto="1"/>
      </left>
      <right style="medium">
        <color auto="1"/>
      </right>
      <top style="medium">
        <color auto="1"/>
      </top>
      <bottom style="thin">
        <color auto="1"/>
      </bottom>
      <diagonal/>
    </border>
    <border>
      <left style="medium">
        <color auto="1"/>
      </left>
      <right/>
      <top style="medium">
        <color auto="1"/>
      </top>
      <bottom style="thin">
        <color auto="1"/>
      </bottom>
      <diagonal/>
    </border>
    <border>
      <left/>
      <right style="medium">
        <color auto="1"/>
      </right>
      <top style="medium">
        <color auto="1"/>
      </top>
      <bottom style="thin">
        <color auto="1"/>
      </bottom>
      <diagonal/>
    </border>
    <border>
      <left style="medium">
        <color auto="1"/>
      </left>
      <right style="medium">
        <color auto="1"/>
      </right>
      <top style="thin">
        <color auto="1"/>
      </top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medium">
        <color auto="1"/>
      </left>
      <right style="medium">
        <color auto="1"/>
      </right>
      <top style="thin">
        <color auto="1"/>
      </top>
      <bottom style="medium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 style="medium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</borders>
  <cellStyleXfs count="6">
    <xf numFmtId="0" fontId="0" fillId="0" borderId="0"/>
    <xf numFmtId="43" fontId="13" fillId="0" borderId="0" applyFont="0" applyFill="0" applyBorder="0" applyAlignment="0" applyProtection="0">
      <alignment vertical="center"/>
    </xf>
    <xf numFmtId="9" fontId="13" fillId="0" borderId="0" applyFont="0" applyFill="0" applyBorder="0" applyAlignment="0" applyProtection="0">
      <alignment vertical="center"/>
    </xf>
    <xf numFmtId="176" fontId="13" fillId="0" borderId="0" applyFont="0" applyFill="0" applyBorder="0" applyAlignment="0" applyProtection="0"/>
    <xf numFmtId="0" fontId="13" fillId="0" borderId="0"/>
    <xf numFmtId="176" fontId="13" fillId="0" borderId="0" applyFont="0" applyFill="0" applyBorder="0" applyAlignment="0" applyProtection="0"/>
  </cellStyleXfs>
  <cellXfs count="107">
    <xf numFmtId="0" fontId="0" fillId="0" borderId="0" xfId="0"/>
    <xf numFmtId="0" fontId="1" fillId="0" borderId="0" xfId="0" applyFont="1" applyAlignment="1">
      <alignment vertical="center"/>
    </xf>
    <xf numFmtId="0" fontId="0" fillId="0" borderId="0" xfId="0" applyAlignment="1">
      <alignment horizontal="center"/>
    </xf>
    <xf numFmtId="177" fontId="0" fillId="0" borderId="0" xfId="0" applyNumberFormat="1" applyAlignment="1">
      <alignment vertical="center"/>
    </xf>
    <xf numFmtId="0" fontId="0" fillId="0" borderId="0" xfId="0" applyAlignment="1">
      <alignment vertical="center"/>
    </xf>
    <xf numFmtId="0" fontId="0" fillId="0" borderId="0" xfId="0" applyAlignment="1">
      <alignment horizontal="left" vertical="center"/>
    </xf>
    <xf numFmtId="0" fontId="0" fillId="0" borderId="0" xfId="0" applyAlignment="1">
      <alignment vertical="center" wrapText="1"/>
    </xf>
    <xf numFmtId="26" fontId="0" fillId="0" borderId="0" xfId="0" applyNumberFormat="1" applyAlignment="1">
      <alignment vertical="center"/>
    </xf>
    <xf numFmtId="9" fontId="0" fillId="0" borderId="0" xfId="2" applyFont="1">
      <alignment vertical="center"/>
    </xf>
    <xf numFmtId="177" fontId="2" fillId="0" borderId="1" xfId="0" applyNumberFormat="1" applyFont="1" applyBorder="1" applyAlignment="1">
      <alignment horizontal="center" vertical="center"/>
    </xf>
    <xf numFmtId="0" fontId="2" fillId="2" borderId="2" xfId="0" applyFont="1" applyFill="1" applyBorder="1" applyAlignment="1" applyProtection="1">
      <alignment horizontal="center" vertical="center"/>
      <protection locked="0"/>
    </xf>
    <xf numFmtId="0" fontId="2" fillId="2" borderId="2" xfId="0" applyFont="1" applyFill="1" applyBorder="1" applyAlignment="1" applyProtection="1">
      <alignment horizontal="center" vertical="center" wrapText="1"/>
      <protection locked="0"/>
    </xf>
    <xf numFmtId="178" fontId="2" fillId="2" borderId="3" xfId="0" applyNumberFormat="1" applyFont="1" applyFill="1" applyBorder="1" applyAlignment="1" applyProtection="1">
      <alignment horizontal="center" vertical="center"/>
      <protection locked="0"/>
    </xf>
    <xf numFmtId="178" fontId="2" fillId="2" borderId="4" xfId="0" applyNumberFormat="1" applyFont="1" applyFill="1" applyBorder="1" applyAlignment="1" applyProtection="1">
      <alignment vertical="center"/>
      <protection locked="0"/>
    </xf>
    <xf numFmtId="1" fontId="2" fillId="3" borderId="2" xfId="0" applyNumberFormat="1" applyFont="1" applyFill="1" applyBorder="1" applyAlignment="1">
      <alignment horizontal="center" vertical="center"/>
    </xf>
    <xf numFmtId="26" fontId="2" fillId="2" borderId="2" xfId="0" applyNumberFormat="1" applyFont="1" applyFill="1" applyBorder="1" applyAlignment="1" applyProtection="1">
      <alignment horizontal="center" vertical="center"/>
      <protection locked="0"/>
    </xf>
    <xf numFmtId="26" fontId="2" fillId="2" borderId="2" xfId="0" applyNumberFormat="1" applyFont="1" applyFill="1" applyBorder="1" applyAlignment="1" applyProtection="1">
      <alignment horizontal="center" vertical="center" wrapText="1"/>
      <protection locked="0"/>
    </xf>
    <xf numFmtId="26" fontId="2" fillId="4" borderId="2" xfId="0" applyNumberFormat="1" applyFont="1" applyFill="1" applyBorder="1" applyAlignment="1" applyProtection="1">
      <alignment horizontal="center" vertical="center" wrapText="1"/>
      <protection locked="0"/>
    </xf>
    <xf numFmtId="26" fontId="3" fillId="2" borderId="2" xfId="0" applyNumberFormat="1" applyFont="1" applyFill="1" applyBorder="1" applyAlignment="1" applyProtection="1">
      <alignment horizontal="center" vertical="center" wrapText="1"/>
      <protection locked="0"/>
    </xf>
    <xf numFmtId="26" fontId="4" fillId="2" borderId="2" xfId="0" applyNumberFormat="1" applyFont="1" applyFill="1" applyBorder="1" applyAlignment="1" applyProtection="1">
      <alignment horizontal="center" vertical="center" wrapText="1"/>
      <protection locked="0"/>
    </xf>
    <xf numFmtId="26" fontId="2" fillId="4" borderId="2" xfId="0" applyNumberFormat="1" applyFont="1" applyFill="1" applyBorder="1" applyAlignment="1">
      <alignment horizontal="center" vertical="center"/>
    </xf>
    <xf numFmtId="9" fontId="5" fillId="4" borderId="2" xfId="2" applyFont="1" applyFill="1" applyBorder="1" applyAlignment="1">
      <alignment horizontal="center" vertical="center" wrapText="1"/>
    </xf>
    <xf numFmtId="0" fontId="3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178" fontId="2" fillId="2" borderId="2" xfId="0" applyNumberFormat="1" applyFont="1" applyFill="1" applyBorder="1" applyAlignment="1">
      <alignment horizontal="center" vertical="center" wrapText="1"/>
    </xf>
    <xf numFmtId="177" fontId="6" fillId="0" borderId="0" xfId="0" applyNumberFormat="1" applyFont="1" applyAlignment="1">
      <alignment horizontal="center"/>
    </xf>
    <xf numFmtId="0" fontId="6" fillId="2" borderId="5" xfId="0" applyFont="1" applyFill="1" applyBorder="1" applyAlignment="1">
      <alignment horizontal="center"/>
    </xf>
    <xf numFmtId="0" fontId="6" fillId="2" borderId="5" xfId="0" applyFont="1" applyFill="1" applyBorder="1" applyAlignment="1">
      <alignment horizontal="left"/>
    </xf>
    <xf numFmtId="0" fontId="7" fillId="2" borderId="5" xfId="0" applyFont="1" applyFill="1" applyBorder="1" applyAlignment="1">
      <alignment horizontal="center"/>
    </xf>
    <xf numFmtId="0" fontId="7" fillId="2" borderId="5" xfId="0" applyFont="1" applyFill="1" applyBorder="1" applyAlignment="1">
      <alignment horizontal="center" wrapText="1"/>
    </xf>
    <xf numFmtId="0" fontId="7" fillId="2" borderId="5" xfId="0" applyFont="1" applyFill="1" applyBorder="1" applyAlignment="1">
      <alignment horizontal="left"/>
    </xf>
    <xf numFmtId="0" fontId="6" fillId="2" borderId="5" xfId="0" applyFont="1" applyFill="1" applyBorder="1" applyAlignment="1" applyProtection="1">
      <alignment horizontal="center" wrapText="1"/>
      <protection locked="0"/>
    </xf>
    <xf numFmtId="178" fontId="6" fillId="2" borderId="5" xfId="0" applyNumberFormat="1" applyFont="1" applyFill="1" applyBorder="1" applyAlignment="1" applyProtection="1">
      <alignment horizontal="center" wrapText="1"/>
      <protection locked="0"/>
    </xf>
    <xf numFmtId="1" fontId="6" fillId="3" borderId="5" xfId="0" applyNumberFormat="1" applyFont="1" applyFill="1" applyBorder="1" applyAlignment="1">
      <alignment horizontal="center"/>
    </xf>
    <xf numFmtId="26" fontId="6" fillId="2" borderId="5" xfId="0" applyNumberFormat="1" applyFont="1" applyFill="1" applyBorder="1" applyAlignment="1" applyProtection="1">
      <alignment horizontal="center"/>
      <protection locked="0"/>
    </xf>
    <xf numFmtId="26" fontId="6" fillId="4" borderId="5" xfId="0" applyNumberFormat="1" applyFont="1" applyFill="1" applyBorder="1" applyAlignment="1" applyProtection="1">
      <alignment horizontal="center"/>
      <protection locked="0"/>
    </xf>
    <xf numFmtId="26" fontId="6" fillId="4" borderId="5" xfId="0" applyNumberFormat="1" applyFont="1" applyFill="1" applyBorder="1" applyAlignment="1">
      <alignment horizontal="center"/>
    </xf>
    <xf numFmtId="9" fontId="6" fillId="4" borderId="5" xfId="2" applyFont="1" applyFill="1" applyBorder="1" applyAlignment="1">
      <alignment horizontal="center"/>
    </xf>
    <xf numFmtId="0" fontId="6" fillId="4" borderId="5" xfId="0" applyFont="1" applyFill="1" applyBorder="1" applyAlignment="1">
      <alignment horizontal="center" wrapText="1"/>
    </xf>
    <xf numFmtId="0" fontId="6" fillId="5" borderId="5" xfId="0" applyFont="1" applyFill="1" applyBorder="1" applyAlignment="1">
      <alignment horizontal="center"/>
    </xf>
    <xf numFmtId="0" fontId="6" fillId="4" borderId="5" xfId="0" applyFont="1" applyFill="1" applyBorder="1" applyAlignment="1">
      <alignment horizontal="center"/>
    </xf>
    <xf numFmtId="177" fontId="7" fillId="0" borderId="6" xfId="0" applyNumberFormat="1" applyFont="1" applyBorder="1" applyAlignment="1">
      <alignment horizontal="center"/>
    </xf>
    <xf numFmtId="0" fontId="7" fillId="0" borderId="6" xfId="0" applyFont="1" applyBorder="1" applyAlignment="1">
      <alignment horizontal="center"/>
    </xf>
    <xf numFmtId="0" fontId="8" fillId="0" borderId="6" xfId="0" applyFont="1" applyBorder="1" applyAlignment="1">
      <alignment horizontal="center" wrapText="1"/>
    </xf>
    <xf numFmtId="179" fontId="7" fillId="0" borderId="6" xfId="1" applyNumberFormat="1" applyFont="1" applyFill="1" applyBorder="1" applyAlignment="1" applyProtection="1">
      <alignment horizontal="center"/>
      <protection locked="0"/>
    </xf>
    <xf numFmtId="0" fontId="7" fillId="0" borderId="6" xfId="0" applyFont="1" applyBorder="1" applyAlignment="1">
      <alignment horizontal="left"/>
    </xf>
    <xf numFmtId="0" fontId="7" fillId="0" borderId="6" xfId="0" applyFont="1" applyBorder="1" applyAlignment="1" applyProtection="1">
      <alignment horizontal="left" wrapText="1"/>
      <protection locked="0"/>
    </xf>
    <xf numFmtId="0" fontId="7" fillId="0" borderId="6" xfId="0" applyFont="1" applyBorder="1" applyAlignment="1">
      <alignment horizontal="left" wrapText="1"/>
    </xf>
    <xf numFmtId="178" fontId="7" fillId="0" borderId="6" xfId="1" applyNumberFormat="1" applyFont="1" applyFill="1" applyBorder="1" applyAlignment="1">
      <alignment horizontal="center"/>
    </xf>
    <xf numFmtId="178" fontId="7" fillId="0" borderId="6" xfId="1" applyNumberFormat="1" applyFont="1" applyBorder="1" applyAlignment="1">
      <alignment horizontal="center"/>
    </xf>
    <xf numFmtId="1" fontId="7" fillId="0" borderId="6" xfId="1" applyNumberFormat="1" applyFont="1" applyBorder="1" applyAlignment="1">
      <alignment horizontal="center"/>
    </xf>
    <xf numFmtId="180" fontId="7" fillId="0" borderId="6" xfId="1" applyNumberFormat="1" applyFont="1" applyFill="1" applyBorder="1" applyAlignment="1">
      <alignment horizontal="center"/>
    </xf>
    <xf numFmtId="180" fontId="7" fillId="0" borderId="6" xfId="0" applyNumberFormat="1" applyFont="1" applyBorder="1" applyAlignment="1">
      <alignment horizontal="center"/>
    </xf>
    <xf numFmtId="180" fontId="7" fillId="0" borderId="6" xfId="1" applyNumberFormat="1" applyFont="1" applyBorder="1" applyAlignment="1">
      <alignment horizontal="center"/>
    </xf>
    <xf numFmtId="10" fontId="7" fillId="0" borderId="6" xfId="1" applyNumberFormat="1" applyFont="1" applyFill="1" applyBorder="1" applyAlignment="1">
      <alignment horizontal="center"/>
    </xf>
    <xf numFmtId="10" fontId="9" fillId="0" borderId="6" xfId="2" applyNumberFormat="1" applyFont="1" applyFill="1" applyBorder="1" applyAlignment="1">
      <alignment horizontal="center"/>
    </xf>
    <xf numFmtId="180" fontId="9" fillId="0" borderId="6" xfId="0" applyNumberFormat="1" applyFont="1" applyBorder="1" applyAlignment="1">
      <alignment horizontal="center"/>
    </xf>
    <xf numFmtId="181" fontId="9" fillId="0" borderId="6" xfId="2" applyNumberFormat="1" applyFont="1" applyBorder="1" applyAlignment="1">
      <alignment horizontal="center"/>
    </xf>
    <xf numFmtId="182" fontId="9" fillId="0" borderId="6" xfId="2" applyNumberFormat="1" applyFont="1" applyBorder="1" applyAlignment="1">
      <alignment horizontal="center"/>
    </xf>
    <xf numFmtId="26" fontId="9" fillId="0" borderId="0" xfId="0" applyNumberFormat="1" applyFont="1" applyAlignment="1">
      <alignment horizontal="center"/>
    </xf>
    <xf numFmtId="0" fontId="0" fillId="0" borderId="6" xfId="0" applyBorder="1" applyAlignment="1">
      <alignment horizontal="center"/>
    </xf>
    <xf numFmtId="49" fontId="0" fillId="0" borderId="0" xfId="0" applyNumberFormat="1" applyAlignment="1">
      <alignment vertical="center"/>
    </xf>
    <xf numFmtId="183" fontId="0" fillId="0" borderId="0" xfId="0" applyNumberFormat="1" applyAlignment="1">
      <alignment vertical="center"/>
    </xf>
    <xf numFmtId="10" fontId="0" fillId="0" borderId="0" xfId="0" applyNumberFormat="1" applyAlignment="1">
      <alignment vertical="center"/>
    </xf>
    <xf numFmtId="49" fontId="2" fillId="2" borderId="2" xfId="0" applyNumberFormat="1" applyFont="1" applyFill="1" applyBorder="1" applyAlignment="1" applyProtection="1">
      <alignment horizontal="center" vertical="center"/>
      <protection locked="0"/>
    </xf>
    <xf numFmtId="49" fontId="2" fillId="2" borderId="2" xfId="0" applyNumberFormat="1" applyFont="1" applyFill="1" applyBorder="1" applyAlignment="1" applyProtection="1">
      <alignment horizontal="center" vertical="center" wrapText="1"/>
      <protection locked="0"/>
    </xf>
    <xf numFmtId="183" fontId="2" fillId="2" borderId="2" xfId="0" applyNumberFormat="1" applyFont="1" applyFill="1" applyBorder="1" applyAlignment="1" applyProtection="1">
      <alignment horizontal="center" vertical="center"/>
      <protection locked="0"/>
    </xf>
    <xf numFmtId="183" fontId="2" fillId="2" borderId="2" xfId="0" applyNumberFormat="1" applyFont="1" applyFill="1" applyBorder="1" applyAlignment="1" applyProtection="1">
      <alignment horizontal="center" vertical="center" wrapText="1"/>
      <protection locked="0"/>
    </xf>
    <xf numFmtId="183" fontId="2" fillId="4" borderId="2" xfId="0" applyNumberFormat="1" applyFont="1" applyFill="1" applyBorder="1" applyAlignment="1">
      <alignment horizontal="center" vertical="center"/>
    </xf>
    <xf numFmtId="10" fontId="2" fillId="4" borderId="2" xfId="0" applyNumberFormat="1" applyFont="1" applyFill="1" applyBorder="1" applyAlignment="1">
      <alignment horizontal="center" vertical="center" wrapText="1"/>
    </xf>
    <xf numFmtId="183" fontId="3" fillId="2" borderId="2" xfId="0" applyNumberFormat="1" applyFont="1" applyFill="1" applyBorder="1" applyAlignment="1">
      <alignment horizontal="center" vertical="center" wrapText="1"/>
    </xf>
    <xf numFmtId="183" fontId="5" fillId="4" borderId="2" xfId="0" applyNumberFormat="1" applyFont="1" applyFill="1" applyBorder="1" applyAlignment="1">
      <alignment horizontal="center" vertical="center" wrapText="1"/>
    </xf>
    <xf numFmtId="183" fontId="2" fillId="4" borderId="2" xfId="0" applyNumberFormat="1" applyFont="1" applyFill="1" applyBorder="1" applyAlignment="1">
      <alignment horizontal="center" vertical="center" wrapText="1"/>
    </xf>
    <xf numFmtId="183" fontId="2" fillId="5" borderId="2" xfId="0" applyNumberFormat="1" applyFont="1" applyFill="1" applyBorder="1" applyAlignment="1">
      <alignment horizontal="center" vertical="center" wrapText="1"/>
    </xf>
    <xf numFmtId="183" fontId="3" fillId="4" borderId="2" xfId="0" applyNumberFormat="1" applyFont="1" applyFill="1" applyBorder="1" applyAlignment="1">
      <alignment horizontal="center" vertical="center" wrapText="1"/>
    </xf>
    <xf numFmtId="178" fontId="2" fillId="2" borderId="2" xfId="0" applyNumberFormat="1" applyFont="1" applyFill="1" applyBorder="1" applyAlignment="1">
      <alignment horizontal="center" vertical="center"/>
    </xf>
    <xf numFmtId="0" fontId="6" fillId="2" borderId="7" xfId="0" applyFont="1" applyFill="1" applyBorder="1" applyAlignment="1">
      <alignment horizontal="center"/>
    </xf>
    <xf numFmtId="0" fontId="6" fillId="2" borderId="7" xfId="0" applyFont="1" applyFill="1" applyBorder="1" applyAlignment="1">
      <alignment horizontal="left"/>
    </xf>
    <xf numFmtId="0" fontId="7" fillId="2" borderId="7" xfId="0" applyFont="1" applyFill="1" applyBorder="1" applyAlignment="1">
      <alignment horizontal="center"/>
    </xf>
    <xf numFmtId="0" fontId="7" fillId="2" borderId="7" xfId="0" applyFont="1" applyFill="1" applyBorder="1" applyAlignment="1">
      <alignment horizontal="center" wrapText="1"/>
    </xf>
    <xf numFmtId="49" fontId="7" fillId="2" borderId="7" xfId="0" applyNumberFormat="1" applyFont="1" applyFill="1" applyBorder="1" applyAlignment="1">
      <alignment horizontal="left"/>
    </xf>
    <xf numFmtId="0" fontId="6" fillId="2" borderId="8" xfId="0" applyFont="1" applyFill="1" applyBorder="1" applyAlignment="1" applyProtection="1">
      <alignment horizontal="center" wrapText="1"/>
      <protection locked="0"/>
    </xf>
    <xf numFmtId="183" fontId="6" fillId="2" borderId="7" xfId="0" applyNumberFormat="1" applyFont="1" applyFill="1" applyBorder="1" applyAlignment="1" applyProtection="1">
      <alignment horizontal="center"/>
      <protection locked="0"/>
    </xf>
    <xf numFmtId="183" fontId="6" fillId="4" borderId="7" xfId="0" applyNumberFormat="1" applyFont="1" applyFill="1" applyBorder="1" applyAlignment="1">
      <alignment horizontal="center"/>
    </xf>
    <xf numFmtId="183" fontId="6" fillId="2" borderId="7" xfId="0" applyNumberFormat="1" applyFont="1" applyFill="1" applyBorder="1" applyAlignment="1">
      <alignment horizontal="center"/>
    </xf>
    <xf numFmtId="183" fontId="6" fillId="4" borderId="7" xfId="0" applyNumberFormat="1" applyFont="1" applyFill="1" applyBorder="1" applyAlignment="1">
      <alignment horizontal="center" wrapText="1"/>
    </xf>
    <xf numFmtId="183" fontId="6" fillId="5" borderId="7" xfId="0" applyNumberFormat="1" applyFont="1" applyFill="1" applyBorder="1" applyAlignment="1">
      <alignment horizontal="center"/>
    </xf>
    <xf numFmtId="0" fontId="10" fillId="0" borderId="9" xfId="0" applyFont="1" applyBorder="1" applyAlignment="1">
      <alignment horizontal="center" wrapText="1"/>
    </xf>
    <xf numFmtId="179" fontId="7" fillId="0" borderId="6" xfId="1" applyNumberFormat="1" applyFont="1" applyFill="1" applyBorder="1" applyAlignment="1" applyProtection="1">
      <alignment horizontal="left"/>
      <protection locked="0"/>
    </xf>
    <xf numFmtId="0" fontId="7" fillId="0" borderId="6" xfId="0" applyFont="1" applyBorder="1" applyProtection="1">
      <protection locked="0"/>
    </xf>
    <xf numFmtId="0" fontId="7" fillId="0" borderId="6" xfId="0" applyFont="1" applyBorder="1"/>
    <xf numFmtId="0" fontId="7" fillId="0" borderId="6" xfId="0" applyFont="1" applyBorder="1" applyAlignment="1" applyProtection="1">
      <alignment wrapText="1"/>
      <protection locked="0"/>
    </xf>
    <xf numFmtId="49" fontId="7" fillId="0" borderId="6" xfId="0" applyNumberFormat="1" applyFont="1" applyBorder="1" applyAlignment="1" applyProtection="1">
      <alignment wrapText="1"/>
      <protection locked="0"/>
    </xf>
    <xf numFmtId="178" fontId="7" fillId="0" borderId="9" xfId="1" applyNumberFormat="1" applyFont="1" applyBorder="1" applyAlignment="1">
      <alignment horizontal="center"/>
    </xf>
    <xf numFmtId="183" fontId="7" fillId="0" borderId="6" xfId="0" applyNumberFormat="1" applyFont="1" applyBorder="1" applyProtection="1">
      <protection locked="0"/>
    </xf>
    <xf numFmtId="183" fontId="7" fillId="0" borderId="9" xfId="0" applyNumberFormat="1" applyFont="1" applyBorder="1" applyProtection="1">
      <protection locked="0"/>
    </xf>
    <xf numFmtId="183" fontId="7" fillId="0" borderId="6" xfId="1" applyNumberFormat="1" applyFont="1" applyBorder="1" applyAlignment="1"/>
    <xf numFmtId="10" fontId="7" fillId="0" borderId="9" xfId="2" applyNumberFormat="1" applyFont="1" applyBorder="1" applyAlignment="1"/>
    <xf numFmtId="183" fontId="9" fillId="0" borderId="6" xfId="0" applyNumberFormat="1" applyFont="1" applyBorder="1"/>
    <xf numFmtId="182" fontId="9" fillId="0" borderId="6" xfId="2" applyNumberFormat="1" applyFont="1" applyBorder="1" applyAlignment="1">
      <alignment horizontal="right"/>
    </xf>
    <xf numFmtId="10" fontId="11" fillId="0" borderId="0" xfId="0" applyNumberFormat="1" applyFont="1" applyAlignment="1">
      <alignment vertical="center"/>
    </xf>
    <xf numFmtId="10" fontId="6" fillId="4" borderId="7" xfId="0" quotePrefix="1" applyNumberFormat="1" applyFont="1" applyFill="1" applyBorder="1" applyAlignment="1">
      <alignment horizontal="center" wrapText="1"/>
    </xf>
    <xf numFmtId="0" fontId="3" fillId="4" borderId="2" xfId="0" quotePrefix="1" applyFont="1" applyFill="1" applyBorder="1" applyAlignment="1">
      <alignment horizontal="center" vertical="center" wrapText="1"/>
    </xf>
    <xf numFmtId="183" fontId="12" fillId="0" borderId="0" xfId="0" applyNumberFormat="1" applyFont="1" applyAlignment="1">
      <alignment vertical="center"/>
    </xf>
    <xf numFmtId="0" fontId="12" fillId="0" borderId="0" xfId="0" applyFont="1" applyAlignment="1">
      <alignment vertical="center"/>
    </xf>
    <xf numFmtId="49" fontId="12" fillId="0" borderId="0" xfId="0" applyNumberFormat="1" applyFont="1" applyAlignment="1">
      <alignment vertical="center"/>
    </xf>
    <xf numFmtId="0" fontId="12" fillId="0" borderId="0" xfId="0" applyFont="1" applyAlignment="1">
      <alignment horizontal="left" vertical="center"/>
    </xf>
  </cellXfs>
  <cellStyles count="6">
    <cellStyle name="百分比" xfId="2" builtinId="5"/>
    <cellStyle name="常规" xfId="0" builtinId="0"/>
    <cellStyle name="常规 13" xfId="4" xr:uid="{00000000-0005-0000-0000-000032000000}"/>
    <cellStyle name="千分位 3" xfId="3" xr:uid="{00000000-0005-0000-0000-000031000000}"/>
    <cellStyle name="千位分隔" xfId="1" builtinId="3"/>
    <cellStyle name="千位分隔 2" xfId="5" xr:uid="{00000000-0005-0000-0000-000033000000}"/>
  </cellStyles>
  <dxfs count="4">
    <dxf>
      <fill>
        <patternFill patternType="solid">
          <bgColor rgb="FFFF0000"/>
        </patternFill>
      </fill>
    </dxf>
    <dxf>
      <font>
        <b val="0"/>
        <i val="0"/>
        <color rgb="FFFF0000"/>
      </font>
    </dxf>
    <dxf>
      <fill>
        <patternFill patternType="solid">
          <bgColor rgb="FFFF0000"/>
        </patternFill>
      </fill>
    </dxf>
    <dxf>
      <fill>
        <patternFill patternType="solid">
          <fgColor rgb="FFFFFF00"/>
          <bgColor rgb="FF00B0F0"/>
        </patternFill>
      </fill>
    </dxf>
  </dxfs>
  <tableStyles count="0" defaultTableStyle="TableStyleMedium2" defaultPivotStyle="PivotStyleMedium9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主题​​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O8324"/>
  <sheetViews>
    <sheetView tabSelected="1" zoomScale="85" zoomScaleNormal="85" workbookViewId="0">
      <pane xSplit="6" ySplit="2" topLeftCell="N3" activePane="bottomRight" state="frozen"/>
      <selection pane="topRight"/>
      <selection pane="bottomLeft"/>
      <selection pane="bottomRight" activeCell="U5" sqref="U5"/>
    </sheetView>
  </sheetViews>
  <sheetFormatPr defaultColWidth="9" defaultRowHeight="14"/>
  <cols>
    <col min="1" max="1" width="6.36328125" style="3" customWidth="1"/>
    <col min="2" max="2" width="10.08984375" style="4" customWidth="1"/>
    <col min="3" max="3" width="22" style="4" customWidth="1"/>
    <col min="4" max="4" width="21.90625" style="5" customWidth="1"/>
    <col min="5" max="5" width="25.6328125" style="4" customWidth="1"/>
    <col min="6" max="6" width="15.26953125" style="4" customWidth="1"/>
    <col min="7" max="7" width="34.26953125" style="6" customWidth="1"/>
    <col min="8" max="8" width="21.36328125" style="61" customWidth="1"/>
    <col min="9" max="9" width="12.08984375" style="4" customWidth="1"/>
    <col min="10" max="10" width="9.26953125" style="4" customWidth="1"/>
    <col min="11" max="11" width="10.26953125" style="4" customWidth="1"/>
    <col min="12" max="12" width="14.6328125" style="62" customWidth="1"/>
    <col min="13" max="13" width="16.08984375" style="62" customWidth="1"/>
    <col min="14" max="14" width="17.36328125" style="62" customWidth="1"/>
    <col min="15" max="15" width="15.453125" style="62" customWidth="1"/>
    <col min="16" max="16" width="15.6328125" style="62" customWidth="1"/>
    <col min="17" max="17" width="13.7265625" style="62" customWidth="1"/>
    <col min="18" max="18" width="13" style="63" customWidth="1"/>
    <col min="19" max="19" width="16.7265625" style="62" customWidth="1"/>
    <col min="20" max="20" width="14.90625" style="62" customWidth="1"/>
    <col min="21" max="21" width="13.7265625" style="62" customWidth="1"/>
    <col min="22" max="22" width="13.36328125" style="62" customWidth="1"/>
    <col min="23" max="23" width="18" style="62" customWidth="1"/>
    <col min="24" max="24" width="12.36328125" style="4" customWidth="1"/>
    <col min="25" max="25" width="14.6328125" style="4" customWidth="1"/>
    <col min="26" max="16384" width="9" style="4"/>
  </cols>
  <sheetData>
    <row r="1" spans="1:25" s="1" customFormat="1" ht="50.25" customHeight="1">
      <c r="A1" s="9" t="s">
        <v>0</v>
      </c>
      <c r="B1" s="10" t="s">
        <v>1</v>
      </c>
      <c r="C1" s="10" t="s">
        <v>2</v>
      </c>
      <c r="D1" s="10" t="s">
        <v>52</v>
      </c>
      <c r="E1" s="10" t="s">
        <v>4</v>
      </c>
      <c r="F1" s="10" t="s">
        <v>5</v>
      </c>
      <c r="G1" s="11" t="s">
        <v>6</v>
      </c>
      <c r="H1" s="64" t="s">
        <v>7</v>
      </c>
      <c r="I1" s="65" t="s">
        <v>8</v>
      </c>
      <c r="J1" s="65" t="s">
        <v>58</v>
      </c>
      <c r="K1" s="66" t="s">
        <v>9</v>
      </c>
      <c r="L1" s="66" t="s">
        <v>10</v>
      </c>
      <c r="M1" s="67" t="s">
        <v>11</v>
      </c>
      <c r="N1" s="67" t="s">
        <v>12</v>
      </c>
      <c r="O1" s="68" t="s">
        <v>13</v>
      </c>
      <c r="P1" s="66" t="s">
        <v>69</v>
      </c>
      <c r="Q1" s="68" t="s">
        <v>15</v>
      </c>
      <c r="R1" s="69" t="s">
        <v>16</v>
      </c>
      <c r="S1" s="70" t="s">
        <v>17</v>
      </c>
      <c r="T1" s="71" t="s">
        <v>18</v>
      </c>
      <c r="U1" s="72" t="s">
        <v>19</v>
      </c>
      <c r="V1" s="73" t="s">
        <v>20</v>
      </c>
      <c r="W1" s="74" t="s">
        <v>21</v>
      </c>
      <c r="X1" s="75" t="s">
        <v>76</v>
      </c>
      <c r="Y1" s="24" t="s">
        <v>77</v>
      </c>
    </row>
    <row r="2" spans="1:25" ht="56" customHeight="1">
      <c r="A2" s="25"/>
      <c r="B2" s="76"/>
      <c r="C2" s="76"/>
      <c r="D2" s="77"/>
      <c r="E2" s="78"/>
      <c r="F2" s="78"/>
      <c r="G2" s="79"/>
      <c r="H2" s="80"/>
      <c r="I2" s="81"/>
      <c r="J2" s="81"/>
      <c r="K2" s="82" t="s">
        <v>24</v>
      </c>
      <c r="L2" s="82" t="s">
        <v>25</v>
      </c>
      <c r="M2" s="82" t="s">
        <v>26</v>
      </c>
      <c r="N2" s="82" t="s">
        <v>27</v>
      </c>
      <c r="O2" s="83" t="s">
        <v>28</v>
      </c>
      <c r="P2" s="82" t="s">
        <v>29</v>
      </c>
      <c r="Q2" s="83" t="s">
        <v>70</v>
      </c>
      <c r="R2" s="101" t="s">
        <v>75</v>
      </c>
      <c r="S2" s="84" t="s">
        <v>30</v>
      </c>
      <c r="T2" s="83" t="s">
        <v>31</v>
      </c>
      <c r="U2" s="85" t="s">
        <v>32</v>
      </c>
      <c r="V2" s="86" t="s">
        <v>72</v>
      </c>
      <c r="W2" s="83" t="s">
        <v>33</v>
      </c>
      <c r="X2" s="76"/>
      <c r="Y2" s="76"/>
    </row>
    <row r="3" spans="1:25" ht="100" customHeight="1">
      <c r="A3" s="41"/>
      <c r="B3" s="42"/>
      <c r="C3" s="87" t="s">
        <v>34</v>
      </c>
      <c r="D3" s="88"/>
      <c r="E3" s="89"/>
      <c r="F3" s="90"/>
      <c r="G3" s="91"/>
      <c r="H3" s="92"/>
      <c r="I3" s="93">
        <v>45658</v>
      </c>
      <c r="J3" s="93">
        <v>45747</v>
      </c>
      <c r="K3" s="50">
        <f>J3-I3+1</f>
        <v>90</v>
      </c>
      <c r="L3" s="94">
        <v>381833.81</v>
      </c>
      <c r="M3" s="95">
        <v>32375.84</v>
      </c>
      <c r="N3" s="95">
        <v>0</v>
      </c>
      <c r="O3" s="96">
        <f>M3-N3</f>
        <v>32375.84</v>
      </c>
      <c r="P3" s="94">
        <f>373455.51+94978.23</f>
        <v>468433.74</v>
      </c>
      <c r="Q3" s="96">
        <f>P3-L3-O3</f>
        <v>54224.09</v>
      </c>
      <c r="R3" s="97">
        <f>Q3/(L3+O3)</f>
        <v>0.13090976996793771</v>
      </c>
      <c r="S3" s="98">
        <v>430697.58</v>
      </c>
      <c r="T3" s="98">
        <f>S3+O3</f>
        <v>463073.42000000004</v>
      </c>
      <c r="U3" s="96">
        <f>P3-T3</f>
        <v>5360.3199999999488</v>
      </c>
      <c r="V3" s="98">
        <f>IF(U3&gt;0,U3*0.2,0)</f>
        <v>1072.0639999999898</v>
      </c>
      <c r="W3" s="98">
        <f>MAX(T3,P3)</f>
        <v>468433.74</v>
      </c>
      <c r="X3" s="99"/>
      <c r="Y3" s="99"/>
    </row>
    <row r="4" spans="1:25" ht="100" customHeight="1">
      <c r="A4" s="41"/>
      <c r="B4" s="42"/>
      <c r="C4" s="87" t="s">
        <v>34</v>
      </c>
      <c r="D4" s="88"/>
      <c r="E4" s="89"/>
      <c r="F4" s="90"/>
      <c r="G4" s="91"/>
      <c r="H4" s="92"/>
      <c r="I4" s="93">
        <v>45658</v>
      </c>
      <c r="J4" s="93">
        <v>45747</v>
      </c>
      <c r="K4" s="50">
        <f>J4-I4+1</f>
        <v>90</v>
      </c>
      <c r="L4" s="94">
        <v>1000000</v>
      </c>
      <c r="M4" s="95">
        <v>100000</v>
      </c>
      <c r="N4" s="95">
        <v>0</v>
      </c>
      <c r="O4" s="96">
        <f>M4-N4</f>
        <v>100000</v>
      </c>
      <c r="P4" s="94">
        <v>1110000</v>
      </c>
      <c r="Q4" s="96">
        <f>P4-L4-O4</f>
        <v>10000</v>
      </c>
      <c r="R4" s="97">
        <f>Q4/(L4+O4)</f>
        <v>9.0909090909090905E-3</v>
      </c>
      <c r="S4" s="98">
        <v>1000000</v>
      </c>
      <c r="T4" s="98">
        <f>S4+O4</f>
        <v>1100000</v>
      </c>
      <c r="U4" s="96">
        <f>P4-T4</f>
        <v>10000</v>
      </c>
      <c r="V4" s="98">
        <f>IF(U4&gt;0,U4*0.2,0)</f>
        <v>2000</v>
      </c>
      <c r="W4" s="98">
        <f>MAX(T4,P4)</f>
        <v>1110000</v>
      </c>
      <c r="X4" s="99"/>
      <c r="Y4" s="99"/>
    </row>
    <row r="5" spans="1:25">
      <c r="D5" s="106" t="s">
        <v>62</v>
      </c>
      <c r="F5" s="104" t="s">
        <v>61</v>
      </c>
      <c r="H5" s="105" t="s">
        <v>60</v>
      </c>
      <c r="M5" s="103" t="s">
        <v>54</v>
      </c>
      <c r="N5" s="103" t="s">
        <v>55</v>
      </c>
      <c r="O5" s="103" t="s">
        <v>57</v>
      </c>
      <c r="P5" s="103" t="s">
        <v>59</v>
      </c>
      <c r="Q5" s="103" t="s">
        <v>66</v>
      </c>
      <c r="S5" s="103" t="s">
        <v>64</v>
      </c>
      <c r="T5" s="103" t="s">
        <v>65</v>
      </c>
      <c r="U5" s="103" t="s">
        <v>67</v>
      </c>
    </row>
    <row r="6" spans="1:25">
      <c r="D6" s="106" t="s">
        <v>63</v>
      </c>
      <c r="M6" s="103" t="s">
        <v>56</v>
      </c>
    </row>
    <row r="7" spans="1:25">
      <c r="L7" s="103" t="s">
        <v>53</v>
      </c>
      <c r="R7" s="100"/>
    </row>
    <row r="8" spans="1:25">
      <c r="D8" s="106" t="s">
        <v>68</v>
      </c>
    </row>
    <row r="9" spans="1:25">
      <c r="M9" s="103" t="s">
        <v>73</v>
      </c>
    </row>
    <row r="10" spans="1:25">
      <c r="M10" s="103" t="s">
        <v>74</v>
      </c>
    </row>
    <row r="12" spans="1:25">
      <c r="H12" s="105" t="s">
        <v>71</v>
      </c>
      <c r="Q12" s="103"/>
    </row>
    <row r="8323" spans="31:41">
      <c r="AE8323" s="4">
        <v>10767.5</v>
      </c>
    </row>
    <row r="8324" spans="31:41">
      <c r="AO8324" s="4">
        <v>702</v>
      </c>
    </row>
  </sheetData>
  <autoFilter ref="A1:AO4" xr:uid="{00000000-0009-0000-0000-000000000000}"/>
  <phoneticPr fontId="14" type="noConversion"/>
  <conditionalFormatting sqref="I3:I4">
    <cfRule type="cellIs" dxfId="3" priority="4" stopIfTrue="1" operator="notEqual">
      <formula>#REF!</formula>
    </cfRule>
  </conditionalFormatting>
  <conditionalFormatting sqref="J3:J4">
    <cfRule type="cellIs" dxfId="2" priority="1" stopIfTrue="1" operator="notEqual">
      <formula>#REF!</formula>
    </cfRule>
  </conditionalFormatting>
  <conditionalFormatting sqref="R1:R1048576">
    <cfRule type="cellIs" dxfId="1" priority="2" stopIfTrue="1" operator="lessThan">
      <formula>0</formula>
    </cfRule>
  </conditionalFormatting>
  <pageMargins left="0.7" right="0.7" top="0.75" bottom="0.75" header="0.3" footer="0.3"/>
  <pageSetup paperSize="9" orientation="portrait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AB6"/>
  <sheetViews>
    <sheetView zoomScale="85" zoomScaleNormal="85" workbookViewId="0">
      <pane xSplit="5" ySplit="2" topLeftCell="F3" activePane="bottomRight" state="frozen"/>
      <selection pane="topRight"/>
      <selection pane="bottomLeft"/>
      <selection pane="bottomRight" activeCell="D35" sqref="D35"/>
    </sheetView>
  </sheetViews>
  <sheetFormatPr defaultColWidth="9" defaultRowHeight="14"/>
  <cols>
    <col min="1" max="1" width="6.26953125" style="3" customWidth="1"/>
    <col min="2" max="2" width="8.6328125" style="4" customWidth="1"/>
    <col min="3" max="3" width="22.453125" style="4" customWidth="1"/>
    <col min="4" max="4" width="22.7265625" style="5" customWidth="1"/>
    <col min="5" max="5" width="22.7265625" style="4" customWidth="1"/>
    <col min="6" max="6" width="22.08984375" style="4" customWidth="1"/>
    <col min="7" max="7" width="34" style="6" customWidth="1"/>
    <col min="8" max="8" width="19.36328125" style="4" customWidth="1"/>
    <col min="9" max="10" width="9.6328125" style="4" customWidth="1"/>
    <col min="11" max="11" width="6.26953125" style="4" customWidth="1"/>
    <col min="12" max="13" width="15.6328125" style="7" customWidth="1"/>
    <col min="14" max="14" width="15.453125" style="7" customWidth="1"/>
    <col min="15" max="15" width="15.08984375" style="7" customWidth="1"/>
    <col min="16" max="17" width="15.6328125" style="7" customWidth="1"/>
    <col min="18" max="18" width="22.26953125" style="7" customWidth="1"/>
    <col min="19" max="19" width="16.26953125" style="4" customWidth="1"/>
    <col min="20" max="20" width="17.08984375" style="4" customWidth="1"/>
    <col min="21" max="21" width="15.6328125" style="7" customWidth="1"/>
    <col min="22" max="22" width="12" style="8" customWidth="1"/>
    <col min="23" max="23" width="14.90625" style="4" customWidth="1"/>
    <col min="24" max="24" width="15.26953125" style="4" customWidth="1"/>
    <col min="25" max="25" width="20.26953125" style="4" customWidth="1"/>
    <col min="26" max="27" width="14.90625" style="4" customWidth="1"/>
    <col min="28" max="28" width="14.26953125" style="4" customWidth="1"/>
    <col min="29" max="29" width="14.90625" style="4"/>
    <col min="30" max="31" width="11.453125" style="4"/>
    <col min="32" max="16384" width="9" style="4"/>
  </cols>
  <sheetData>
    <row r="1" spans="1:28" s="1" customFormat="1" ht="51.75" customHeight="1">
      <c r="A1" s="9" t="s">
        <v>0</v>
      </c>
      <c r="B1" s="10" t="s">
        <v>1</v>
      </c>
      <c r="C1" s="10" t="s">
        <v>2</v>
      </c>
      <c r="D1" s="10" t="s">
        <v>3</v>
      </c>
      <c r="E1" s="10" t="s">
        <v>4</v>
      </c>
      <c r="F1" s="10" t="s">
        <v>5</v>
      </c>
      <c r="G1" s="11" t="s">
        <v>6</v>
      </c>
      <c r="H1" s="10" t="s">
        <v>7</v>
      </c>
      <c r="I1" s="12" t="s">
        <v>35</v>
      </c>
      <c r="J1" s="13"/>
      <c r="K1" s="14" t="s">
        <v>9</v>
      </c>
      <c r="L1" s="15" t="s">
        <v>10</v>
      </c>
      <c r="M1" s="16" t="s">
        <v>11</v>
      </c>
      <c r="N1" s="16" t="s">
        <v>12</v>
      </c>
      <c r="O1" s="17" t="s">
        <v>13</v>
      </c>
      <c r="P1" s="15" t="s">
        <v>14</v>
      </c>
      <c r="Q1" s="17" t="s">
        <v>15</v>
      </c>
      <c r="R1" s="17" t="s">
        <v>16</v>
      </c>
      <c r="S1" s="18" t="s">
        <v>17</v>
      </c>
      <c r="T1" s="19" t="s">
        <v>18</v>
      </c>
      <c r="U1" s="20" t="s">
        <v>36</v>
      </c>
      <c r="V1" s="21" t="s">
        <v>37</v>
      </c>
      <c r="W1" s="102" t="s">
        <v>38</v>
      </c>
      <c r="X1" s="23" t="s">
        <v>39</v>
      </c>
      <c r="Y1" s="22" t="s">
        <v>21</v>
      </c>
      <c r="Z1" s="24" t="s">
        <v>22</v>
      </c>
      <c r="AA1" s="24" t="s">
        <v>23</v>
      </c>
    </row>
    <row r="2" spans="1:28" ht="28">
      <c r="A2" s="25"/>
      <c r="B2" s="26"/>
      <c r="C2" s="26"/>
      <c r="D2" s="27"/>
      <c r="E2" s="28"/>
      <c r="F2" s="28"/>
      <c r="G2" s="29"/>
      <c r="H2" s="30"/>
      <c r="I2" s="31" t="s">
        <v>8</v>
      </c>
      <c r="J2" s="32" t="s">
        <v>40</v>
      </c>
      <c r="K2" s="33" t="s">
        <v>24</v>
      </c>
      <c r="L2" s="34" t="s">
        <v>25</v>
      </c>
      <c r="M2" s="34" t="s">
        <v>26</v>
      </c>
      <c r="N2" s="34" t="s">
        <v>27</v>
      </c>
      <c r="O2" s="35" t="s">
        <v>28</v>
      </c>
      <c r="P2" s="34" t="s">
        <v>29</v>
      </c>
      <c r="Q2" s="35" t="s">
        <v>41</v>
      </c>
      <c r="R2" s="35" t="s">
        <v>42</v>
      </c>
      <c r="S2" s="34" t="s">
        <v>30</v>
      </c>
      <c r="T2" s="34" t="s">
        <v>31</v>
      </c>
      <c r="U2" s="36" t="s">
        <v>43</v>
      </c>
      <c r="V2" s="37" t="s">
        <v>44</v>
      </c>
      <c r="W2" s="38" t="s">
        <v>45</v>
      </c>
      <c r="X2" s="39" t="s">
        <v>46</v>
      </c>
      <c r="Y2" s="40" t="s">
        <v>47</v>
      </c>
      <c r="Z2" s="26"/>
      <c r="AA2" s="26"/>
    </row>
    <row r="3" spans="1:28" s="2" customFormat="1" ht="114" customHeight="1">
      <c r="A3" s="41"/>
      <c r="B3" s="42"/>
      <c r="C3" s="43" t="s">
        <v>48</v>
      </c>
      <c r="D3" s="44"/>
      <c r="E3" s="45"/>
      <c r="F3" s="42"/>
      <c r="G3" s="46"/>
      <c r="H3" s="47"/>
      <c r="I3" s="48">
        <v>45658</v>
      </c>
      <c r="J3" s="49">
        <v>45747</v>
      </c>
      <c r="K3" s="50">
        <f>J3-I3+1</f>
        <v>90</v>
      </c>
      <c r="L3" s="51">
        <v>1000000</v>
      </c>
      <c r="M3" s="52">
        <v>0</v>
      </c>
      <c r="N3" s="53">
        <v>0</v>
      </c>
      <c r="O3" s="53">
        <f>M3-N3</f>
        <v>0</v>
      </c>
      <c r="P3" s="51">
        <v>1050000</v>
      </c>
      <c r="Q3" s="51">
        <f>P3-L3-O3</f>
        <v>50000</v>
      </c>
      <c r="R3" s="54">
        <f>(P3-S3-O3)/((L3+P3)/2)</f>
        <v>4.878048780487805E-2</v>
      </c>
      <c r="S3" s="53">
        <v>1000000</v>
      </c>
      <c r="T3" s="53">
        <f>S3+O3</f>
        <v>1000000</v>
      </c>
      <c r="U3" s="53">
        <f>(S3+P3)/2</f>
        <v>1025000</v>
      </c>
      <c r="V3" s="55">
        <v>0.06</v>
      </c>
      <c r="W3" s="56">
        <f>U3*V3/365*K3</f>
        <v>15164.383561643834</v>
      </c>
      <c r="X3" s="56">
        <f>IF((P3-S3-O3-W3)&lt;=0,0,IF((P3-S3-O3-W3)&gt;0,(P3-S3-O3-W3)))</f>
        <v>34835.61643835617</v>
      </c>
      <c r="Y3" s="56">
        <f>MAX(P3,S3+O3+W3)</f>
        <v>1050000</v>
      </c>
      <c r="Z3" s="57"/>
      <c r="AA3" s="58"/>
      <c r="AB3" s="59"/>
    </row>
    <row r="4" spans="1:28" s="2" customFormat="1" ht="114" customHeight="1">
      <c r="A4" s="41"/>
      <c r="B4" s="42"/>
      <c r="C4" s="43" t="s">
        <v>49</v>
      </c>
      <c r="D4" s="44"/>
      <c r="E4" s="45"/>
      <c r="F4" s="42"/>
      <c r="G4" s="46"/>
      <c r="H4" s="47"/>
      <c r="I4" s="48">
        <v>45748</v>
      </c>
      <c r="J4" s="49">
        <v>45838</v>
      </c>
      <c r="K4" s="50">
        <f>J4-I4+1</f>
        <v>91</v>
      </c>
      <c r="L4" s="51">
        <v>1050000</v>
      </c>
      <c r="M4" s="52">
        <v>0</v>
      </c>
      <c r="N4" s="53">
        <v>0</v>
      </c>
      <c r="O4" s="53">
        <f>M4-N4</f>
        <v>0</v>
      </c>
      <c r="P4" s="51">
        <v>1081500</v>
      </c>
      <c r="Q4" s="51">
        <f>P4-L4-O4</f>
        <v>31500</v>
      </c>
      <c r="R4" s="54">
        <f>(P4-S4-O4)/((L4+P4)/2)</f>
        <v>2.9556650246305417E-2</v>
      </c>
      <c r="S4" s="53">
        <v>1050000</v>
      </c>
      <c r="T4" s="53">
        <f>S4+O4</f>
        <v>1050000</v>
      </c>
      <c r="U4" s="53">
        <f>(S4+P4)/2</f>
        <v>1065750</v>
      </c>
      <c r="V4" s="55">
        <v>0.06</v>
      </c>
      <c r="W4" s="56">
        <f>U4*V4/365*K4</f>
        <v>15942.452054794519</v>
      </c>
      <c r="X4" s="56">
        <f>IF((P4-S4-O4-W4)&lt;=0,0,IF((P4-S4-O4-W4)&gt;0,(P4-S4-O4-W4)))</f>
        <v>15557.547945205481</v>
      </c>
      <c r="Y4" s="56">
        <f>MAX(P4,S4+O4+W4)</f>
        <v>1081500</v>
      </c>
      <c r="Z4" s="57"/>
      <c r="AA4" s="58"/>
      <c r="AB4" s="59"/>
    </row>
    <row r="5" spans="1:28" s="2" customFormat="1" ht="114" customHeight="1">
      <c r="A5" s="41"/>
      <c r="B5" s="42"/>
      <c r="C5" s="43" t="s">
        <v>50</v>
      </c>
      <c r="D5" s="44"/>
      <c r="E5" s="45"/>
      <c r="F5" s="42"/>
      <c r="G5" s="46"/>
      <c r="H5" s="47"/>
      <c r="I5" s="48">
        <v>45839</v>
      </c>
      <c r="J5" s="49">
        <v>45930</v>
      </c>
      <c r="K5" s="50">
        <f>J5-I5+1</f>
        <v>92</v>
      </c>
      <c r="L5" s="51">
        <v>1081500</v>
      </c>
      <c r="M5" s="52">
        <v>0</v>
      </c>
      <c r="N5" s="53">
        <v>0</v>
      </c>
      <c r="O5" s="53">
        <f>M5-N5</f>
        <v>0</v>
      </c>
      <c r="P5" s="51">
        <v>1124760</v>
      </c>
      <c r="Q5" s="51">
        <f>P5-L5-O5</f>
        <v>43260</v>
      </c>
      <c r="R5" s="54">
        <f>(P5-S5-O5)/((L5+P5)/2)</f>
        <v>3.9215686274509803E-2</v>
      </c>
      <c r="S5" s="53">
        <v>1081500</v>
      </c>
      <c r="T5" s="53">
        <f>S5+O5</f>
        <v>1081500</v>
      </c>
      <c r="U5" s="53">
        <f>(S5+P5)/2</f>
        <v>1103130</v>
      </c>
      <c r="V5" s="55">
        <v>0.06</v>
      </c>
      <c r="W5" s="56">
        <f>U5*V5/365*K5</f>
        <v>16682.952328767125</v>
      </c>
      <c r="X5" s="56">
        <f>IF((P5-S5-O5-W5)&lt;=0,0,IF((P5-S5-O5-W5)&gt;0,(P5-S5-O5-W5)))</f>
        <v>26577.047671232875</v>
      </c>
      <c r="Y5" s="56">
        <f>MAX(P5,S5+O5+W5)</f>
        <v>1124760</v>
      </c>
      <c r="Z5" s="57"/>
      <c r="AA5" s="58"/>
      <c r="AB5" s="59"/>
    </row>
    <row r="6" spans="1:28" s="2" customFormat="1" ht="114" customHeight="1">
      <c r="A6" s="41"/>
      <c r="B6" s="42"/>
      <c r="C6" s="43" t="s">
        <v>51</v>
      </c>
      <c r="D6" s="44"/>
      <c r="E6" s="45"/>
      <c r="F6" s="42"/>
      <c r="G6" s="46"/>
      <c r="H6" s="47"/>
      <c r="I6" s="48">
        <v>45931</v>
      </c>
      <c r="J6" s="49">
        <v>46022</v>
      </c>
      <c r="K6" s="50">
        <f>J6-I6+1</f>
        <v>92</v>
      </c>
      <c r="L6" s="51">
        <v>1124760</v>
      </c>
      <c r="M6" s="52">
        <v>0</v>
      </c>
      <c r="N6" s="53">
        <v>0</v>
      </c>
      <c r="O6" s="53">
        <f>M6-N6</f>
        <v>0</v>
      </c>
      <c r="P6" s="51">
        <v>1180998</v>
      </c>
      <c r="Q6" s="51">
        <f>P6-L6-O6</f>
        <v>56238</v>
      </c>
      <c r="R6" s="54">
        <f>(P6-S6-O6)/((L6+P6)/2)</f>
        <v>4.878048780487805E-2</v>
      </c>
      <c r="S6" s="53">
        <v>1124760</v>
      </c>
      <c r="T6" s="53">
        <f>S6+O6</f>
        <v>1124760</v>
      </c>
      <c r="U6" s="53">
        <f>(S6+P6)/2</f>
        <v>1152879</v>
      </c>
      <c r="V6" s="55">
        <v>0.06</v>
      </c>
      <c r="W6" s="56">
        <f>U6*V6/365*K6</f>
        <v>17435.320767123285</v>
      </c>
      <c r="X6" s="56">
        <f>IF((P6-S6-O6-W6)&lt;=0,0,IF((P6-S6-O6-W6)&gt;0,(P6-S6-O6-W6)))</f>
        <v>38802.679232876719</v>
      </c>
      <c r="Y6" s="56">
        <f>MAX(P6,S6+O6+W6)</f>
        <v>1180998</v>
      </c>
      <c r="Z6" s="57"/>
      <c r="AA6" s="60"/>
      <c r="AB6" s="59"/>
    </row>
  </sheetData>
  <autoFilter ref="F1:F2" xr:uid="{00000000-0009-0000-0000-000001000000}"/>
  <phoneticPr fontId="14" type="noConversion"/>
  <conditionalFormatting sqref="J3:J6">
    <cfRule type="cellIs" dxfId="0" priority="7" operator="notEqual">
      <formula>#REF!</formula>
    </cfRule>
  </conditionalFormatting>
  <pageMargins left="0.7" right="0.7" top="0.75" bottom="0.75" header="0.3" footer="0.3"/>
  <pageSetup paperSize="9" orientation="portrait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2</vt:i4>
      </vt:variant>
    </vt:vector>
  </HeadingPairs>
  <TitlesOfParts>
    <vt:vector size="2" baseType="lpstr">
      <vt:lpstr>利润20%</vt:lpstr>
      <vt:lpstr>Defer 延付利息（待确认）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雾桀</dc:creator>
  <cp:lastModifiedBy>桀 雾</cp:lastModifiedBy>
  <dcterms:created xsi:type="dcterms:W3CDTF">2006-09-16T00:00:00Z</dcterms:created>
  <dcterms:modified xsi:type="dcterms:W3CDTF">2026-08-24T04:50:53Z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87C00791E80148179C107C6265686958_13</vt:lpwstr>
  </property>
  <property fmtid="{D5CDD505-2E9C-101B-9397-08002B2CF9AE}" pid="3" name="KSOProductBuildVer">
    <vt:lpwstr>2052-12.1.0.28043</vt:lpwstr>
  </property>
  <property fmtid="{D5CDD505-2E9C-101B-9397-08002B2CF9AE}" pid="4" name="CalculationRule">
    <vt:i4>0</vt:i4>
  </property>
</Properties>
</file>