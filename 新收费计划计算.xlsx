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9c86afcb0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20%" sheetId="4" r:id="Rb5fefb65ec2b4adf"/>
    <x:sheet xmlns:r="http://schemas.openxmlformats.org/officeDocument/2006/relationships" name="Defer 延付利息（待确认）" sheetId="2" r:id="R267a0d790de24466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<x:sst xmlns:x="http://schemas.openxmlformats.org/spreadsheetml/2006/main">
  <x:si>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</x:si>
  <x:si>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Company</x:t>
  </x:si>
  <x:si>
    <x:t xml:space="preserve">Remarks</x:t>
  </x:si>
  <x:si>
    <x:t xml:space="preserve">Invoice No.</x:t>
  </x:si>
  <x:si>
    <x:t xml:space="preserve">Client Name</x:t>
  </x:si>
  <x:si>
    <x:t xml:space="preserve">FC</x:t>
  </x:si>
  <x:si>
    <x:t xml:space="preserve">Platform</x:t>
  </x:si>
  <x:si>
    <x:t xml:space="preserve">A/C</x:t>
  </x:si>
  <x:si>
    <x:t xml:space="preserve">Starting date</x:t>
  </x:si>
  <x:si>
    <x:t xml:space="preserve">Closing date</x:t>
  </x:si>
  <x:si>
    <x:t xml:space="preserve">Days</x:t>
  </x:si>
  <x:si>
    <x:t xml:space="preserve">Beginning </x:t>
  </x:si>
  <x:si>
    <x:t xml:space="preserve">Contribution </x:t>
  </x:si>
  <x:si>
    <x:t xml:space="preserve">Withdrawal</x:t>
  </x:si>
  <x:si>
    <x:t xml:space="preserve">Net Contribution</x:t>
  </x:si>
  <x:si>
    <x:t xml:space="preserve">Closing</x:t>
  </x:si>
  <x:si>
    <x:t xml:space="preserve">Gain/Loss</x:t>
  </x:si>
  <x:si>
    <x:t xml:space="preserve">Period rate of return </x:t>
  </x:si>
  <x:si>
    <x:t xml:space="preserve">The Original  High Water Mark</x:t>
  </x:si>
  <x:si>
    <x:t xml:space="preserve">Adjusted High Water Mark</x:t>
  </x:si>
  <x:si>
    <x:t xml:space="preserve">above the watermark</x:t>
  </x:si>
  <x:si>
    <x:t xml:space="preserve">Service fee</x:t>
  </x:si>
  <x:si>
    <x:t xml:space="preserve">High Water Mark in the next period</x:t>
  </x:si>
  <x:si>
    <x:t xml:space="preserve">Issue Date</x:t>
  </x:si>
  <x:si>
    <x:t xml:space="preserve">Payment due date</x:t>
  </x:si>
  <x:si>
    <x:t xml:space="preserve">P</x:t>
  </x:si>
  <x:si>
    <x:t xml:space="preserve">A</x:t>
  </x:si>
  <x:si>
    <x:t xml:space="preserve">B</x:t>
  </x:si>
  <x:si>
    <x:t xml:space="preserve">C</x:t>
  </x:si>
  <x:si>
    <x:t xml:space="preserve">D=B-C</x:t>
  </x:si>
  <x:si>
    <x:t xml:space="preserve">E</x:t>
  </x:si>
  <x:si>
    <x:t xml:space="preserve"> F=E-A-D</x:t>
  </x:si>
  <x:si>
    <x:t xml:space="preserve">G=F/(A+D)</x:t>
  </x:si>
  <x:si>
    <x:t xml:space="preserve">H</x:t>
  </x:si>
  <x:si>
    <x:t xml:space="preserve">I=H+D </x:t>
  </x:si>
  <x:si>
    <x:t xml:space="preserve">J=E-I</x:t>
  </x:si>
  <x:si>
    <x:t xml:space="preserve">K=J*20%</x:t>
  </x:si>
  <x:si>
    <x:t xml:space="preserve">N=MAX(I,E)</x:t>
  </x:si>
  <x:si>
    <x:t xml:space="preserve">Period</x:t>
  </x:si>
  <x:si>
    <x:t xml:space="preserve">Average Balance</x:t>
  </x:si>
  <x:si>
    <x:t xml:space="preserve">Benchmark Return Rate</x:t>
  </x:si>
  <x:si>
    <x:t xml:space="preserve">Benchmark Index Amount</x:t>
  </x:si>
  <x:si>
    <x:t xml:space="preserve">Service Fee</x:t>
  </x:si>
  <x:si>
    <x:t xml:space="preserve">Closing Date</x:t>
  </x:si>
  <x:si>
    <x:t xml:space="preserve">F=E-A-D</x:t>
  </x:si>
  <x:si>
    <x:t xml:space="preserve">G=(E-H-D)/((A+E)/2)</x:t>
  </x:si>
  <x:si>
    <x:t xml:space="preserve">J=(E+H)/2</x:t>
  </x:si>
  <x:si>
    <x:t xml:space="preserve">K</x:t>
  </x:si>
  <x:si>
    <x:t xml:space="preserve">L=J*K/365*P</x:t>
  </x:si>
  <x:si>
    <x:t xml:space="preserve">M=E-I-L</x:t>
  </x:si>
  <x:si>
    <x:t xml:space="preserve">N=MAX(E, H+D+L)</x:t>
  </x:si>
  <x:si>
    <x:t xml:space="preserve">Q1</x:t>
  </x:si>
  <x:si>
    <x:t xml:space="preserve">Q2</x:t>
  </x:si>
  <x:si>
    <x:t xml:space="preserve">Q3</x:t>
  </x:si>
  <x:si>
    <x:t xml:space="preserve">Q4</x:t>
  </x:si>
</x:sst>
</file>

<file path=xl/styles.xml><?xml version="1.0" encoding="utf-8"?>
<x:styleSheet xmlns:x="http://schemas.openxmlformats.org/spreadsheetml/2006/main">
  <x:numFmts count="10">
    <x:numFmt numFmtId="43" formatCode="_ * #,##0.00_ ;_ * \-#,##0.00_ ;_ * &quot;-&quot;??_ ;_ @_ "/>
    <x:numFmt numFmtId="26" formatCode="\$#,##0.00_);[Red]\(\$#,##0.00\)"/>
    <x:numFmt numFmtId="176" formatCode="_-* #,##0.00_-;\-* #,##0.00_-;_-* &quot;-&quot;??_-;_-@_-"/>
    <x:numFmt numFmtId="177" formatCode="#,##0;[Red]#,##0"/>
    <x:numFmt numFmtId="178" formatCode="dd/mm/yy;@"/>
    <x:numFmt numFmtId="179" formatCode="_-* #,##0_-;\-* #,##0_-;_-* &quot;-&quot;??_-;_-@_-"/>
    <x:numFmt numFmtId="180" formatCode="#,##0.00_);[Red]\(#,##0.00\)"/>
    <x:numFmt numFmtId="181" formatCode="0.00_ "/>
    <x:numFmt numFmtId="182" formatCode="yyyy/mm/dd;@"/>
    <x:numFmt numFmtId="183" formatCode="\$#,##0.00;[Red]\-\$#,##0.00"/>
  </x:numFmts>
  <x:fonts count="15">
    <x:font>
      <x:sz val="11"/>
      <x:color theme="1"/>
      <x:name val="宋体"/>
    </x:font>
    <x:font>
      <x:sz val="10"/>
      <x:color theme="1"/>
      <x:name val="宋体"/>
    </x:font>
    <x:font>
      <x:sz val="10"/>
      <x:color theme="1"/>
      <x:name val="Arial Unicode MS"/>
    </x:font>
    <x:font>
      <x:b/>
      <x:sz val="10"/>
      <x:color rgb="FFFF0000"/>
      <x:name val="Arial Unicode MS"/>
    </x:font>
    <x:font>
      <x:b/>
      <x:sz val="10"/>
      <x:name val="Arial Unicode MS"/>
    </x:font>
    <x:font>
      <x:b/>
      <x:sz val="10"/>
      <x:color theme="1"/>
      <x:name val="Arial Unicode MS"/>
    </x:font>
    <x:font>
      <x:b/>
      <x:sz val="11"/>
      <x:color theme="1"/>
      <x:name val="Arial Unicode MS"/>
    </x:font>
    <x:font>
      <x:sz val="11"/>
      <x:color theme="1"/>
      <x:name val="Arial Unicode MS"/>
    </x:font>
    <x:font>
      <x:sz val="20"/>
      <x:color rgb="FFFF0000"/>
      <x:name val="Arial Unicode MS"/>
    </x:font>
    <x:font>
      <x:sz val="11"/>
      <x:color rgb="FF000000"/>
      <x:name val="Arial Unicode MS"/>
    </x:font>
    <x:font>
      <x:sz val="22"/>
      <x:color rgb="FFFF0000"/>
      <x:name val="Arial Unicode MS"/>
    </x:font>
    <x:font>
      <x:b/>
      <x:sz val="11"/>
      <x:color rgb="FFFF000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4" tint="0.59999"/>
      </x:patternFill>
    </x:fill>
    <x:fill>
      <x:patternFill patternType="solid">
        <x:fgColor theme="9" tint="0.59999"/>
      </x:patternFill>
    </x:fill>
    <x:fill>
      <x:patternFill patternType="solid">
        <x:fgColor theme="8" tint="0.59999"/>
      </x:patternFill>
    </x:fill>
  </x:fills>
  <x:borders count="10">
    <x:border/>
    <x:border>
      <x:left style="thin">
        <x:color auto="1"/>
      </x:left>
      <x:top style="thin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">
    <x:xf numFmtId="0" fontId="0" fillId="0" borderId="0"/>
    <x:xf numFmtId="43" fontId="13" fillId="0" borderId="0" applyFont="0" applyFill="0" applyBorder="0" applyAlignment="0" applyProtection="0">
      <x:alignment vertical="center"/>
    </x:xf>
    <x:xf numFmtId="9" fontId="13" fillId="0" borderId="0" applyFont="0" applyFill="0" applyBorder="0" applyAlignment="0" applyProtection="0">
      <x:alignment vertical="center"/>
    </x:xf>
    <x:xf numFmtId="176" fontId="13" fillId="0" borderId="0" applyFont="0" applyFill="0" applyBorder="0" applyAlignment="0" applyProtection="0"/>
    <x:xf numFmtId="0" fontId="13" fillId="0" borderId="0"/>
    <x:xf numFmtId="176" fontId="13" fillId="0" borderId="0" applyFont="0" applyFill="0" applyBorder="0" applyAlignment="0" applyProtection="0"/>
  </x:cellStyleXfs>
  <x:cellXfs count="107"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horizontal="center"/>
    </x:xf>
    <x:xf numFmtId="177" fontId="0" fillId="0" borderId="0" xfId="0" applyNumberFormat="1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 wrapText="1"/>
    </x:xf>
    <x:xf numFmtId="26" fontId="0" fillId="0" borderId="0" xfId="0" applyNumberFormat="1" applyAlignment="1">
      <x:alignment vertical="center"/>
    </x:xf>
    <x:xf numFmtId="9" fontId="0" fillId="0" borderId="0" xfId="2" applyFont="1">
      <x:alignment vertical="center"/>
    </x:xf>
    <x:xf numFmtId="177" fontId="2" fillId="0" borderId="1" xfId="0" applyNumberFormat="1" applyFont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 wrapText="1"/>
    </x:xf>
    <x:xf numFmtId="178" fontId="2" fillId="2" borderId="3" xfId="0" applyNumberFormat="1" applyFont="1" applyFill="1" applyBorder="1" applyAlignment="1">
      <x:alignment horizontal="center" vertical="center"/>
    </x:xf>
    <x:xf numFmtId="178" fontId="2" fillId="2" borderId="4" xfId="0" applyNumberFormat="1" applyFont="1" applyFill="1" applyBorder="1" applyAlignment="1">
      <x:alignment vertical="center"/>
    </x:xf>
    <x:xf numFmtId="1" fontId="2" fillId="3" borderId="2" xfId="0" applyNumberFormat="1" applyFont="1" applyFill="1" applyBorder="1" applyAlignment="1">
      <x:alignment horizontal="center" vertical="center"/>
    </x:xf>
    <x:xf numFmtId="26" fontId="2" fillId="2" borderId="2" xfId="0" applyNumberFormat="1" applyFont="1" applyFill="1" applyBorder="1" applyAlignment="1">
      <x:alignment horizontal="center" vertical="center"/>
    </x:xf>
    <x:xf numFmtId="26" fontId="2" fillId="2" borderId="2" xfId="0" applyNumberFormat="1" applyFont="1" applyFill="1" applyBorder="1" applyAlignment="1">
      <x:alignment horizontal="center" vertical="center" wrapText="1"/>
    </x:xf>
    <x:xf numFmtId="26" fontId="2" fillId="4" borderId="2" xfId="0" applyNumberFormat="1" applyFont="1" applyFill="1" applyBorder="1" applyAlignment="1">
      <x:alignment horizontal="center" vertical="center" wrapText="1"/>
    </x:xf>
    <x:xf numFmtId="26" fontId="3" fillId="2" borderId="2" xfId="0" applyNumberFormat="1" applyFont="1" applyFill="1" applyBorder="1" applyAlignment="1">
      <x:alignment horizontal="center" vertical="center" wrapText="1"/>
    </x:xf>
    <x:xf numFmtId="26" fontId="4" fillId="2" borderId="2" xfId="0" applyNumberFormat="1" applyFont="1" applyFill="1" applyBorder="1" applyAlignment="1">
      <x:alignment horizontal="center" vertical="center" wrapText="1"/>
    </x:xf>
    <x:xf numFmtId="26" fontId="2" fillId="4" borderId="2" xfId="0" applyNumberFormat="1" applyFont="1" applyFill="1" applyBorder="1" applyAlignment="1">
      <x:alignment horizontal="center" vertical="center"/>
    </x:xf>
    <x:xf numFmtId="9" fontId="5" fillId="4" borderId="2" xfId="2" applyFont="1" applyFill="1" applyBorder="1" applyAlignment="1">
      <x:alignment horizontal="center" vertical="center" wrapText="1"/>
    </x:xf>
    <x:xf numFmtId="0" fontId="3" fillId="4" borderId="2" xfId="0" applyFont="1" applyFill="1" applyBorder="1" applyAlignment="1">
      <x:alignment horizontal="center" vertical="center" wrapText="1"/>
    </x:xf>
    <x:xf numFmtId="0" fontId="2" fillId="5" borderId="2" xfId="0" applyFont="1" applyFill="1" applyBorder="1" applyAlignment="1">
      <x:alignment horizontal="center" vertical="center" wrapText="1"/>
    </x:xf>
    <x:xf numFmtId="178" fontId="2" fillId="2" borderId="2" xfId="0" applyNumberFormat="1" applyFont="1" applyFill="1" applyBorder="1" applyAlignment="1">
      <x:alignment horizontal="center" vertical="center" wrapText="1"/>
    </x:xf>
    <x:xf numFmtId="177" fontId="6" fillId="0" borderId="0" xfId="0" applyNumberFormat="1" applyFont="1" applyAlignment="1">
      <x:alignment horizontal="center"/>
    </x:xf>
    <x:xf numFmtId="0" fontId="6" fillId="2" borderId="5" xfId="0" applyFont="1" applyFill="1" applyBorder="1" applyAlignment="1">
      <x:alignment horizontal="center"/>
    </x:xf>
    <x:xf numFmtId="0" fontId="6" fillId="2" borderId="5" xfId="0" applyFont="1" applyFill="1" applyBorder="1" applyAlignment="1">
      <x:alignment horizontal="left"/>
    </x:xf>
    <x:xf numFmtId="0" fontId="7" fillId="2" borderId="5" xfId="0" applyFont="1" applyFill="1" applyBorder="1" applyAlignment="1">
      <x:alignment horizontal="center"/>
    </x:xf>
    <x:xf numFmtId="0" fontId="7" fillId="2" borderId="5" xfId="0" applyFont="1" applyFill="1" applyBorder="1" applyAlignment="1">
      <x:alignment horizontal="center" wrapText="1"/>
    </x:xf>
    <x:xf numFmtId="0" fontId="7" fillId="2" borderId="5" xfId="0" applyFont="1" applyFill="1" applyBorder="1" applyAlignment="1">
      <x:alignment horizontal="left"/>
    </x:xf>
    <x:xf numFmtId="0" fontId="6" fillId="2" borderId="5" xfId="0" applyFont="1" applyFill="1" applyBorder="1" applyAlignment="1">
      <x:alignment horizontal="center" wrapText="1"/>
    </x:xf>
    <x:xf numFmtId="178" fontId="6" fillId="2" borderId="5" xfId="0" applyNumberFormat="1" applyFont="1" applyFill="1" applyBorder="1" applyAlignment="1">
      <x:alignment horizontal="center" wrapText="1"/>
    </x:xf>
    <x:xf numFmtId="1" fontId="6" fillId="3" borderId="5" xfId="0" applyNumberFormat="1" applyFont="1" applyFill="1" applyBorder="1" applyAlignment="1">
      <x:alignment horizontal="center"/>
    </x:xf>
    <x:xf numFmtId="26" fontId="6" fillId="2" borderId="5" xfId="0" applyNumberFormat="1" applyFont="1" applyFill="1" applyBorder="1" applyAlignment="1">
      <x:alignment horizontal="center"/>
    </x:xf>
    <x:xf numFmtId="26" fontId="6" fillId="4" borderId="5" xfId="0" applyNumberFormat="1" applyFont="1" applyFill="1" applyBorder="1" applyAlignment="1">
      <x:alignment horizontal="center"/>
    </x:xf>
    <x:xf numFmtId="26" fontId="6" fillId="4" borderId="5" xfId="0" applyNumberFormat="1" applyFont="1" applyFill="1" applyBorder="1" applyAlignment="1">
      <x:alignment horizontal="center"/>
    </x:xf>
    <x:xf numFmtId="9" fontId="6" fillId="4" borderId="5" xfId="2" applyFont="1" applyFill="1" applyBorder="1" applyAlignment="1">
      <x:alignment horizontal="center"/>
    </x:xf>
    <x:xf numFmtId="0" fontId="6" fillId="4" borderId="5" xfId="0" applyFont="1" applyFill="1" applyBorder="1" applyAlignment="1">
      <x:alignment horizontal="center" wrapText="1"/>
    </x:xf>
    <x:xf numFmtId="0" fontId="6" fillId="5" borderId="5" xfId="0" applyFont="1" applyFill="1" applyBorder="1" applyAlignment="1">
      <x:alignment horizontal="center"/>
    </x:xf>
    <x:xf numFmtId="0" fontId="6" fillId="4" borderId="5" xfId="0" applyFont="1" applyFill="1" applyBorder="1" applyAlignment="1">
      <x:alignment horizontal="center"/>
    </x:xf>
    <x:xf numFmtId="177" fontId="7" fillId="0" borderId="6" xfId="0" applyNumberFormat="1" applyFont="1" applyBorder="1" applyAlignment="1">
      <x:alignment horizontal="center"/>
    </x:xf>
    <x:xf numFmtId="0" fontId="7" fillId="0" borderId="6" xfId="0" applyFont="1" applyBorder="1" applyAlignment="1">
      <x:alignment horizontal="center"/>
    </x:xf>
    <x:xf numFmtId="0" fontId="8" fillId="0" borderId="6" xfId="0" applyFont="1" applyBorder="1" applyAlignment="1">
      <x:alignment horizontal="center" wrapText="1"/>
    </x:xf>
    <x:xf numFmtId="179" fontId="7" fillId="0" borderId="6" xfId="1" applyNumberFormat="1" applyFont="1" applyFill="1" applyBorder="1" applyAlignment="1">
      <x:alignment horizontal="center"/>
    </x:xf>
    <x:xf numFmtId="0" fontId="7" fillId="0" borderId="6" xfId="0" applyFont="1" applyBorder="1" applyAlignment="1">
      <x:alignment horizontal="left"/>
    </x:xf>
    <x:xf numFmtId="0" fontId="7" fillId="0" borderId="6" xfId="0" applyFont="1" applyBorder="1" applyAlignment="1">
      <x:alignment horizontal="left" wrapText="1"/>
    </x:xf>
    <x:xf numFmtId="0" fontId="7" fillId="0" borderId="6" xfId="0" applyFont="1" applyBorder="1" applyAlignment="1">
      <x:alignment horizontal="left" wrapText="1"/>
    </x:xf>
    <x:xf numFmtId="178" fontId="7" fillId="0" borderId="6" xfId="1" applyNumberFormat="1" applyFont="1" applyFill="1" applyBorder="1" applyAlignment="1">
      <x:alignment horizontal="center"/>
    </x:xf>
    <x:xf numFmtId="178" fontId="7" fillId="0" borderId="6" xfId="1" applyNumberFormat="1" applyFont="1" applyBorder="1" applyAlignment="1">
      <x:alignment horizontal="center"/>
    </x:xf>
    <x:xf numFmtId="1" fontId="7" fillId="0" borderId="6" xfId="1" applyNumberFormat="1" applyFont="1" applyBorder="1" applyAlignment="1">
      <x:alignment horizontal="center"/>
    </x:xf>
    <x:xf numFmtId="180" fontId="7" fillId="0" borderId="6" xfId="1" applyNumberFormat="1" applyFont="1" applyFill="1" applyBorder="1" applyAlignment="1">
      <x:alignment horizontal="center"/>
    </x:xf>
    <x:xf numFmtId="180" fontId="7" fillId="0" borderId="6" xfId="0" applyNumberFormat="1" applyFont="1" applyBorder="1" applyAlignment="1">
      <x:alignment horizontal="center"/>
    </x:xf>
    <x:xf numFmtId="180" fontId="7" fillId="0" borderId="6" xfId="1" applyNumberFormat="1" applyFont="1" applyBorder="1" applyAlignment="1">
      <x:alignment horizontal="center"/>
    </x:xf>
    <x:xf numFmtId="10" fontId="7" fillId="0" borderId="6" xfId="1" applyNumberFormat="1" applyFont="1" applyFill="1" applyBorder="1" applyAlignment="1">
      <x:alignment horizontal="center"/>
    </x:xf>
    <x:xf numFmtId="10" fontId="9" fillId="0" borderId="6" xfId="2" applyNumberFormat="1" applyFont="1" applyFill="1" applyBorder="1" applyAlignment="1">
      <x:alignment horizontal="center"/>
    </x:xf>
    <x:xf numFmtId="180" fontId="9" fillId="0" borderId="6" xfId="0" applyNumberFormat="1" applyFont="1" applyBorder="1" applyAlignment="1">
      <x:alignment horizontal="center"/>
    </x:xf>
    <x:xf numFmtId="181" fontId="9" fillId="0" borderId="6" xfId="2" applyNumberFormat="1" applyFont="1" applyBorder="1" applyAlignment="1">
      <x:alignment horizontal="center"/>
    </x:xf>
    <x:xf numFmtId="182" fontId="9" fillId="0" borderId="6" xfId="2" applyNumberFormat="1" applyFont="1" applyBorder="1" applyAlignment="1">
      <x:alignment horizontal="center"/>
    </x:xf>
    <x:xf numFmtId="26" fontId="9" fillId="0" borderId="0" xfId="0" applyNumberFormat="1" applyFont="1" applyAlignment="1">
      <x:alignment horizontal="center"/>
    </x:xf>
    <x:xf numFmtId="0" fontId="0" fillId="0" borderId="6" xfId="0" applyBorder="1" applyAlignment="1">
      <x:alignment horizontal="center"/>
    </x:xf>
    <x:xf numFmtId="49" fontId="0" fillId="0" borderId="0" xfId="0" applyNumberFormat="1" applyAlignment="1">
      <x:alignment vertical="center"/>
    </x:xf>
    <x:xf numFmtId="183" fontId="0" fillId="0" borderId="0" xfId="0" applyNumberFormat="1" applyAlignment="1">
      <x:alignment vertical="center"/>
    </x:xf>
    <x:xf numFmtId="10" fontId="0" fillId="0" borderId="0" xfId="0" applyNumberFormat="1" applyAlignment="1">
      <x:alignment vertical="center"/>
    </x:xf>
    <x:xf numFmtId="49" fontId="2" fillId="2" borderId="2" xfId="0" applyNumberFormat="1" applyFont="1" applyFill="1" applyBorder="1" applyAlignment="1">
      <x:alignment horizontal="center" vertical="center"/>
    </x:xf>
    <x:xf numFmtId="49" fontId="2" fillId="2" borderId="2" xfId="0" applyNumberFormat="1" applyFont="1" applyFill="1" applyBorder="1" applyAlignment="1">
      <x:alignment horizontal="center" vertical="center" wrapText="1"/>
    </x:xf>
    <x:xf numFmtId="183" fontId="2" fillId="2" borderId="2" xfId="0" applyNumberFormat="1" applyFont="1" applyFill="1" applyBorder="1" applyAlignment="1">
      <x:alignment horizontal="center" vertical="center"/>
    </x:xf>
    <x:xf numFmtId="183" fontId="2" fillId="2" borderId="2" xfId="0" applyNumberFormat="1" applyFont="1" applyFill="1" applyBorder="1" applyAlignment="1">
      <x:alignment horizontal="center" vertical="center" wrapText="1"/>
    </x:xf>
    <x:xf numFmtId="183" fontId="2" fillId="4" borderId="2" xfId="0" applyNumberFormat="1" applyFont="1" applyFill="1" applyBorder="1" applyAlignment="1">
      <x:alignment horizontal="center" vertical="center"/>
    </x:xf>
    <x:xf numFmtId="10" fontId="2" fillId="4" borderId="2" xfId="0" applyNumberFormat="1" applyFont="1" applyFill="1" applyBorder="1" applyAlignment="1">
      <x:alignment horizontal="center" vertical="center" wrapText="1"/>
    </x:xf>
    <x:xf numFmtId="183" fontId="3" fillId="2" borderId="2" xfId="0" applyNumberFormat="1" applyFont="1" applyFill="1" applyBorder="1" applyAlignment="1">
      <x:alignment horizontal="center" vertical="center" wrapText="1"/>
    </x:xf>
    <x:xf numFmtId="183" fontId="5" fillId="4" borderId="2" xfId="0" applyNumberFormat="1" applyFont="1" applyFill="1" applyBorder="1" applyAlignment="1">
      <x:alignment horizontal="center" vertical="center" wrapText="1"/>
    </x:xf>
    <x:xf numFmtId="183" fontId="2" fillId="4" borderId="2" xfId="0" applyNumberFormat="1" applyFont="1" applyFill="1" applyBorder="1" applyAlignment="1">
      <x:alignment horizontal="center" vertical="center" wrapText="1"/>
    </x:xf>
    <x:xf numFmtId="183" fontId="2" fillId="5" borderId="2" xfId="0" applyNumberFormat="1" applyFont="1" applyFill="1" applyBorder="1" applyAlignment="1">
      <x:alignment horizontal="center" vertical="center" wrapText="1"/>
    </x:xf>
    <x:xf numFmtId="183" fontId="3" fillId="4" borderId="2" xfId="0" applyNumberFormat="1" applyFont="1" applyFill="1" applyBorder="1" applyAlignment="1">
      <x:alignment horizontal="center" vertical="center" wrapText="1"/>
    </x:xf>
    <x:xf numFmtId="178" fontId="2" fillId="2" borderId="2" xfId="0" applyNumberFormat="1" applyFont="1" applyFill="1" applyBorder="1" applyAlignment="1">
      <x:alignment horizontal="center" vertical="center"/>
    </x:xf>
    <x:xf numFmtId="0" fontId="6" fillId="2" borderId="7" xfId="0" applyFont="1" applyFill="1" applyBorder="1" applyAlignment="1">
      <x:alignment horizontal="center"/>
    </x:xf>
    <x:xf numFmtId="0" fontId="6" fillId="2" borderId="7" xfId="0" applyFont="1" applyFill="1" applyBorder="1" applyAlignment="1">
      <x:alignment horizontal="left"/>
    </x:xf>
    <x:xf numFmtId="0" fontId="7" fillId="2" borderId="7" xfId="0" applyFont="1" applyFill="1" applyBorder="1" applyAlignment="1">
      <x:alignment horizontal="center"/>
    </x:xf>
    <x:xf numFmtId="0" fontId="7" fillId="2" borderId="7" xfId="0" applyFont="1" applyFill="1" applyBorder="1" applyAlignment="1">
      <x:alignment horizontal="center" wrapText="1"/>
    </x:xf>
    <x:xf numFmtId="49" fontId="7" fillId="2" borderId="7" xfId="0" applyNumberFormat="1" applyFont="1" applyFill="1" applyBorder="1" applyAlignment="1">
      <x:alignment horizontal="left"/>
    </x:xf>
    <x:xf numFmtId="0" fontId="6" fillId="2" borderId="8" xfId="0" applyFont="1" applyFill="1" applyBorder="1" applyAlignment="1">
      <x:alignment horizontal="center" wrapText="1"/>
    </x:xf>
    <x:xf numFmtId="183" fontId="6" fillId="2" borderId="7" xfId="0" applyNumberFormat="1" applyFont="1" applyFill="1" applyBorder="1" applyAlignment="1">
      <x:alignment horizontal="center"/>
    </x:xf>
    <x:xf numFmtId="183" fontId="6" fillId="4" borderId="7" xfId="0" applyNumberFormat="1" applyFont="1" applyFill="1" applyBorder="1" applyAlignment="1">
      <x:alignment horizontal="center"/>
    </x:xf>
    <x:xf numFmtId="183" fontId="6" fillId="2" borderId="7" xfId="0" applyNumberFormat="1" applyFont="1" applyFill="1" applyBorder="1" applyAlignment="1">
      <x:alignment horizontal="center"/>
    </x:xf>
    <x:xf numFmtId="183" fontId="6" fillId="4" borderId="7" xfId="0" applyNumberFormat="1" applyFont="1" applyFill="1" applyBorder="1" applyAlignment="1">
      <x:alignment horizontal="center" wrapText="1"/>
    </x:xf>
    <x:xf numFmtId="183" fontId="6" fillId="5" borderId="7" xfId="0" applyNumberFormat="1" applyFont="1" applyFill="1" applyBorder="1" applyAlignment="1">
      <x:alignment horizontal="center"/>
    </x:xf>
    <x:xf numFmtId="0" fontId="10" fillId="0" borderId="9" xfId="0" applyFont="1" applyBorder="1" applyAlignment="1">
      <x:alignment horizontal="center" wrapText="1"/>
    </x:xf>
    <x:xf numFmtId="179" fontId="7" fillId="0" borderId="6" xfId="1" applyNumberFormat="1" applyFont="1" applyFill="1" applyBorder="1" applyAlignment="1">
      <x:alignment horizontal="left"/>
    </x:xf>
    <x:xf numFmtId="0" fontId="7" fillId="0" borderId="6" xfId="0" applyFont="1" applyBorder="1"/>
    <x:xf numFmtId="0" fontId="7" fillId="0" borderId="6" xfId="0" applyFont="1" applyBorder="1"/>
    <x:xf numFmtId="0" fontId="7" fillId="0" borderId="6" xfId="0" applyFont="1" applyBorder="1" applyAlignment="1">
      <x:alignment wrapText="1"/>
    </x:xf>
    <x:xf numFmtId="49" fontId="7" fillId="0" borderId="6" xfId="0" applyNumberFormat="1" applyFont="1" applyBorder="1" applyAlignment="1">
      <x:alignment wrapText="1"/>
    </x:xf>
    <x:xf numFmtId="178" fontId="7" fillId="0" borderId="9" xfId="1" applyNumberFormat="1" applyFont="1" applyBorder="1" applyAlignment="1">
      <x:alignment horizontal="center"/>
    </x:xf>
    <x:xf numFmtId="183" fontId="7" fillId="0" borderId="6" xfId="0" applyNumberFormat="1" applyFont="1" applyBorder="1"/>
    <x:xf numFmtId="183" fontId="7" fillId="0" borderId="9" xfId="0" applyNumberFormat="1" applyFont="1" applyBorder="1"/>
    <x:xf numFmtId="183" fontId="7" fillId="0" borderId="6" xfId="1" applyNumberFormat="1" applyFont="1" applyBorder="1" applyAlignment="1"/>
    <x:xf numFmtId="10" fontId="7" fillId="0" borderId="9" xfId="2" applyNumberFormat="1" applyFont="1" applyBorder="1" applyAlignment="1"/>
    <x:xf numFmtId="183" fontId="9" fillId="0" borderId="6" xfId="0" applyNumberFormat="1" applyFont="1" applyBorder="1"/>
    <x:xf numFmtId="182" fontId="9" fillId="0" borderId="6" xfId="2" applyNumberFormat="1" applyFont="1" applyBorder="1" applyAlignment="1">
      <x:alignment horizontal="right"/>
    </x:xf>
    <x:xf numFmtId="10" fontId="11" fillId="0" borderId="0" xfId="0" applyNumberFormat="1" applyFont="1" applyAlignment="1">
      <x:alignment vertical="center"/>
    </x:xf>
    <x:xf numFmtId="10" fontId="6" fillId="4" borderId="7" xfId="0" applyNumberFormat="1" applyFont="1" applyFill="1" applyBorder="1" applyAlignment="1">
      <x:alignment horizontal="center" wrapText="1"/>
    </x:xf>
    <x:xf numFmtId="0" fontId="3" fillId="4" borderId="2" xfId="0" applyFont="1" applyFill="1" applyBorder="1" applyAlignment="1">
      <x:alignment horizontal="center" vertical="center" wrapText="1"/>
    </x:xf>
    <x:xf numFmtId="183" fontId="12" fillId="0" borderId="0" xfId="0" applyNumberFormat="1" applyFont="1" applyAlignment="1">
      <x:alignment vertical="center"/>
    </x:xf>
    <x:xf numFmtId="0" fontId="12" fillId="0" borderId="0" xfId="0" applyFont="1" applyAlignment="1">
      <x:alignment vertical="center"/>
    </x:xf>
    <x:xf numFmtId="49" fontId="12" fillId="0" borderId="0" xfId="0" applyNumberFormat="1" applyFont="1" applyAlignment="1">
      <x:alignment vertical="center"/>
    </x:xf>
    <x:xf numFmtId="0" fontId="12" fillId="0" borderId="0" xfId="0" applyFont="1" applyAlignment="1">
      <x:alignment horizontal="left" vertical="center"/>
    </x:xf>
  </x:cellXfs>
  <x:cellStyles count="6">
    <x:cellStyle name="百分比" xfId="2"/>
    <x:cellStyle name="常规" xfId="0"/>
    <x:cellStyle name="常规 13" xfId="4"/>
    <x:cellStyle name="千分位 3" xfId="3"/>
    <x:cellStyle name="千位分隔" xfId="1"/>
    <x:cellStyle name="千位分隔 2" xfId="5"/>
  </x:cellStyles>
  <x:dxfs count="4">
    <x:dxf>
      <x:fill>
        <x:patternFill>
          <x:bgColor rgb="FFFF0000"/>
        </x:patternFill>
      </x:fill>
    </x:dxf>
    <x:dxf>
      <x:font>
        <x:color rgb="FFFF0000"/>
      </x:font>
    </x:dxf>
    <x:dxf>
      <x:fill>
        <x:patternFill>
          <x:bgColor rgb="FFFF0000"/>
        </x:patternFill>
      </x:fill>
    </x:dxf>
    <x:dxf>
      <x:fill>
        <x:patternFill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a9106c172496c" /><Relationship Type="http://schemas.openxmlformats.org/officeDocument/2006/relationships/theme" Target="/xl/theme/theme1.xml" Id="R1ff4eeddaff74bd0" /><Relationship Type="http://schemas.openxmlformats.org/officeDocument/2006/relationships/sharedStrings" Target="/xl/sharedStrings.xml" Id="R8fdc161eec974042" /><Relationship Type="http://schemas.openxmlformats.org/officeDocument/2006/relationships/worksheet" Target="/xl/worksheets/sheet1.xml" Id="Rb5fefb65ec2b4adf" /><Relationship Type="http://schemas.openxmlformats.org/officeDocument/2006/relationships/worksheet" Target="/xl/worksheets/sheet2.xml" Id="R267a0d790de2446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6.36328125" style="3" customWidth="1"/>
    <x:col min="2" max="2" width="10.08984375" style="4" customWidth="1"/>
    <x:col min="3" max="3" width="22" style="4" customWidth="1"/>
    <x:col min="4" max="4" width="21.90625" style="5" customWidth="1"/>
    <x:col min="5" max="5" width="25.6328125" style="4" customWidth="1"/>
    <x:col min="6" max="6" width="15.26953125" style="4" customWidth="1"/>
    <x:col min="7" max="7" width="34.26953125" style="6" customWidth="1"/>
    <x:col min="8" max="8" width="21.36328125" style="61" customWidth="1"/>
    <x:col min="9" max="9" width="12.08984375" style="4" customWidth="1"/>
    <x:col min="10" max="10" width="9.26953125" style="4" customWidth="1"/>
    <x:col min="11" max="11" width="10.26953125" style="4" customWidth="1"/>
    <x:col min="12" max="12" width="14.6328125" style="62" customWidth="1"/>
    <x:col min="13" max="13" width="16.08984375" style="62" customWidth="1"/>
    <x:col min="14" max="14" width="17.36328125" style="62" customWidth="1"/>
    <x:col min="15" max="15" width="15.453125" style="62" customWidth="1"/>
    <x:col min="16" max="16" width="15.6328125" style="62" customWidth="1"/>
    <x:col min="17" max="17" width="13.7265625" style="62" customWidth="1"/>
    <x:col min="18" max="18" width="13" style="63" customWidth="1"/>
    <x:col min="19" max="19" width="16.7265625" style="62" customWidth="1"/>
    <x:col min="20" max="20" width="14.90625" style="62" customWidth="1"/>
    <x:col min="21" max="21" width="13.7265625" style="62" customWidth="1"/>
    <x:col min="22" max="22" width="13.36328125" style="62" customWidth="1"/>
    <x:col min="23" max="23" width="18" style="62" customWidth="1"/>
    <x:col min="24" max="24" width="12.36328125" style="4" customWidth="1"/>
    <x:col min="25" max="25" width="14.6328125" style="4" customWidth="1"/>
    <x:col min="26" max="16384" width="9" style="4" customWidth="0"/>
  </x:cols>
  <x:sheetData>
    <x:row r="1" s="1" customFormat="1" ht="50.25" customHeight="1">
      <x:c r="A1" s="9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1" t="s">
        <x:v>6</x:v>
      </x:c>
      <x:c r="H1" s="64" t="s">
        <x:v>7</x:v>
      </x:c>
      <x:c r="I1" s="65" t="s">
        <x:v>8</x:v>
      </x:c>
      <x:c r="J1" s="65" t="s">
        <x:v>9</x:v>
      </x:c>
      <x:c r="K1" s="66" t="s">
        <x:v>10</x:v>
      </x:c>
      <x:c r="L1" s="66" t="s">
        <x:v>11</x:v>
      </x:c>
      <x:c r="M1" s="67" t="s">
        <x:v>12</x:v>
      </x:c>
      <x:c r="N1" s="67" t="s">
        <x:v>13</x:v>
      </x:c>
      <x:c r="O1" s="68" t="s">
        <x:v>14</x:v>
      </x:c>
      <x:c r="P1" s="66" t="s">
        <x:v>15</x:v>
      </x:c>
      <x:c r="Q1" s="68" t="s">
        <x:v>16</x:v>
      </x:c>
      <x:c r="R1" s="69" t="s">
        <x:v>17</x:v>
      </x:c>
      <x:c r="S1" s="70" t="s">
        <x:v>18</x:v>
      </x:c>
      <x:c r="T1" s="71" t="s">
        <x:v>19</x:v>
      </x:c>
      <x:c r="U1" s="72" t="s">
        <x:v>20</x:v>
      </x:c>
      <x:c r="V1" s="73" t="s">
        <x:v>21</x:v>
      </x:c>
      <x:c r="W1" s="74" t="s">
        <x:v>22</x:v>
      </x:c>
      <x:c r="X1" s="75" t="s">
        <x:v>23</x:v>
      </x:c>
      <x:c r="Y1" s="24" t="s">
        <x:v>24</x:v>
      </x:c>
    </x:row>
    <x:row r="2" ht="56" customHeight="1">
      <x:c r="A2" s="25"/>
      <x:c r="B2" s="76"/>
      <x:c r="C2" s="76"/>
      <x:c r="D2" s="77"/>
      <x:c r="E2" s="78"/>
      <x:c r="F2" s="78"/>
      <x:c r="G2" s="79"/>
      <x:c r="H2" s="80"/>
      <x:c r="I2" s="81"/>
      <x:c r="J2" s="81"/>
      <x:c r="K2" s="82" t="s">
        <x:v>25</x:v>
      </x:c>
      <x:c r="L2" s="82" t="s">
        <x:v>26</x:v>
      </x:c>
      <x:c r="M2" s="82" t="s">
        <x:v>27</x:v>
      </x:c>
      <x:c r="N2" s="82" t="s">
        <x:v>28</x:v>
      </x:c>
      <x:c r="O2" s="83" t="s">
        <x:v>29</x:v>
      </x:c>
      <x:c r="P2" s="82" t="s">
        <x:v>30</x:v>
      </x:c>
      <x:c r="Q2" s="83" t="s">
        <x:v>31</x:v>
      </x:c>
      <x:c r="R2" s="101" t="s">
        <x:v>32</x:v>
      </x:c>
      <x:c r="S2" s="84" t="s">
        <x:v>33</x:v>
      </x:c>
      <x:c r="T2" s="83" t="s">
        <x:v>34</x:v>
      </x:c>
      <x:c r="U2" s="85" t="s">
        <x:v>35</x:v>
      </x:c>
      <x:c r="V2" s="86" t="s">
        <x:v>36</x:v>
      </x:c>
      <x:c r="W2" s="83" t="s">
        <x:v>37</x:v>
      </x:c>
      <x:c r="X2" s="76"/>
      <x:c r="Y2" s="76"/>
    </x:row>
    <x:row r="3" ht="100" customHeight="1">
      <x:c r="A3" s="41"/>
      <x:c r="B3" s="42"/>
      <x:c r="C3" s="87"/>
      <x:c r="D3" s="88"/>
      <x:c r="E3" s="89"/>
      <x:c r="F3" s="90"/>
      <x:c r="G3" s="91"/>
      <x:c r="H3" s="92"/>
      <x:c r="I3" s="93"/>
      <x:c r="J3" s="93"/>
      <x:c r="K3" s="50"/>
      <x:c r="L3" s="94"/>
      <x:c r="M3" s="95"/>
      <x:c r="N3" s="95"/>
      <x:c r="O3" s="96"/>
      <x:c r="P3" s="94"/>
      <x:c r="Q3" s="96"/>
      <x:c r="R3" s="97"/>
      <x:c r="S3" s="98"/>
      <x:c r="T3" s="98"/>
      <x:c r="U3" s="96"/>
      <x:c r="V3" s="98"/>
      <x:c r="W3" s="98"/>
      <x:c r="X3" s="99"/>
      <x:c r="Y3" s="99"/>
    </x:row>
    <x:row r="4" ht="100" customHeight="1">
      <x:c r="A4" s="41"/>
      <x:c r="B4" s="42"/>
      <x:c r="C4" s="87"/>
      <x:c r="D4" s="88"/>
      <x:c r="E4" s="89"/>
      <x:c r="F4" s="90"/>
      <x:c r="G4" s="91"/>
      <x:c r="H4" s="92"/>
      <x:c r="I4" s="93"/>
      <x:c r="J4" s="93"/>
      <x:c r="K4" s="50"/>
      <x:c r="L4" s="94"/>
      <x:c r="M4" s="95"/>
      <x:c r="N4" s="95"/>
      <x:c r="O4" s="96"/>
      <x:c r="P4" s="94"/>
      <x:c r="Q4" s="96"/>
      <x:c r="R4" s="97"/>
      <x:c r="S4" s="98"/>
      <x:c r="T4" s="98"/>
      <x:c r="U4" s="96"/>
      <x:c r="V4" s="98"/>
      <x:c r="W4" s="98"/>
      <x:c r="X4" s="99"/>
      <x:c r="Y4" s="99"/>
    </x:row>
    <x:row r="5">
      <x:c r="D5" s="106"/>
      <x:c r="F5" s="104"/>
      <x:c r="H5" s="105"/>
      <x:c r="M5" s="103"/>
      <x:c r="N5" s="103"/>
      <x:c r="O5" s="103"/>
      <x:c r="P5" s="103"/>
      <x:c r="Q5" s="103"/>
      <x:c r="S5" s="103"/>
      <x:c r="T5" s="103"/>
      <x:c r="U5" s="103"/>
    </x:row>
    <x:row r="6">
      <x:c r="D6" s="106"/>
      <x:c r="M6" s="103"/>
    </x:row>
    <x:row r="7">
      <x:c r="L7" s="103"/>
      <x:c r="R7" s="100"/>
    </x:row>
    <x:row r="8">
      <x:c r="D8" s="106"/>
    </x:row>
    <x:row r="9">
      <x:c r="M9" s="103"/>
    </x:row>
    <x:row r="10">
      <x:c r="M10" s="103"/>
    </x:row>
    <x:row r="12">
      <x:c r="H12" s="105"/>
      <x:c r="Q12" s="103"/>
    </x:row>
    <x:row r="8323">
      <x:c r="AE8323" s="4">
        <x:v>10767.5</x:v>
      </x:c>
    </x:row>
    <x:row r="8324">
      <x:c r="AO8324" s="4">
        <x:v>702</x:v>
      </x:c>
    </x:row>
  </x:sheetData>
  <x:conditionalFormatting sqref="I3:I4">
    <x:cfRule type="cellIs" dxfId="3" priority="4" stopIfTrue="1" operator="notEqual">
      <x:formula>#REF!</x:formula>
    </x:cfRule>
  </x:conditionalFormatting>
  <x:conditionalFormatting sqref="J3:J4">
    <x:cfRule type="cellIs" dxfId="2" priority="1" stopIfTrue="1" operator="notEqual">
      <x:formula>#REF!</x:formula>
    </x:cfRule>
  </x:conditionalFormatting>
  <x:conditionalFormatting sqref="R1:R1048576">
    <x:cfRule type="cellIs" dxfId="1" priority="2" stopIfTrue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1" width="6.26953125" style="3" customWidth="1"/>
    <x:col min="2" max="2" width="8.6328125" style="4" customWidth="1"/>
    <x:col min="3" max="3" width="22.453125" style="4" customWidth="1"/>
    <x:col min="4" max="4" width="22.7265625" style="5" customWidth="1"/>
    <x:col min="5" max="5" width="22.7265625" style="4" customWidth="1"/>
    <x:col min="6" max="6" width="22.08984375" style="4" customWidth="1"/>
    <x:col min="7" max="7" width="34" style="6" customWidth="1"/>
    <x:col min="8" max="8" width="19.36328125" style="4" customWidth="1"/>
    <x:col min="9" max="10" width="9.6328125" style="4" customWidth="1"/>
    <x:col min="11" max="11" width="6.26953125" style="4" customWidth="1"/>
    <x:col min="12" max="13" width="15.6328125" style="7" customWidth="1"/>
    <x:col min="14" max="14" width="15.453125" style="7" customWidth="1"/>
    <x:col min="15" max="15" width="15.08984375" style="7" customWidth="1"/>
    <x:col min="16" max="17" width="15.6328125" style="7" customWidth="1"/>
    <x:col min="18" max="18" width="22.26953125" style="7" customWidth="1"/>
    <x:col min="19" max="19" width="16.26953125" style="4" customWidth="1"/>
    <x:col min="20" max="20" width="17.08984375" style="4" customWidth="1"/>
    <x:col min="21" max="21" width="15.6328125" style="7" customWidth="1"/>
    <x:col min="22" max="22" width="12" style="8" customWidth="1"/>
    <x:col min="23" max="23" width="14.90625" style="4" customWidth="1"/>
    <x:col min="24" max="24" width="15.26953125" style="4" customWidth="1"/>
    <x:col min="25" max="25" width="20.26953125" style="4" customWidth="1"/>
    <x:col min="26" max="27" width="14.90625" style="4" customWidth="1"/>
    <x:col min="28" max="28" width="14.26953125" style="4" customWidth="1"/>
    <x:col min="29" max="29" width="14.90625" style="4" customWidth="0"/>
    <x:col min="30" max="31" width="11.453125" style="4" customWidth="0"/>
    <x:col min="32" max="16384" width="9" style="4" customWidth="0"/>
  </x:cols>
  <x:sheetData>
    <x:row r="1" s="1" customFormat="1" ht="51.75" customHeight="1">
      <x:c r="A1" s="9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1" t="s">
        <x:v>6</x:v>
      </x:c>
      <x:c r="H1" s="10" t="s">
        <x:v>7</x:v>
      </x:c>
      <x:c r="I1" s="12" t="s">
        <x:v>38</x:v>
      </x:c>
      <x:c r="J1" s="13"/>
      <x:c r="K1" s="14" t="s">
        <x:v>10</x:v>
      </x:c>
      <x:c r="L1" s="15" t="s">
        <x:v>11</x:v>
      </x:c>
      <x:c r="M1" s="16" t="s">
        <x:v>12</x:v>
      </x:c>
      <x:c r="N1" s="16" t="s">
        <x:v>13</x:v>
      </x:c>
      <x:c r="O1" s="17" t="s">
        <x:v>14</x:v>
      </x:c>
      <x:c r="P1" s="15" t="s">
        <x:v>15</x:v>
      </x:c>
      <x:c r="Q1" s="17" t="s">
        <x:v>16</x:v>
      </x:c>
      <x:c r="R1" s="17" t="s">
        <x:v>17</x:v>
      </x:c>
      <x:c r="S1" s="18" t="s">
        <x:v>18</x:v>
      </x:c>
      <x:c r="T1" s="19" t="s">
        <x:v>19</x:v>
      </x:c>
      <x:c r="U1" s="20" t="s">
        <x:v>39</x:v>
      </x:c>
      <x:c r="V1" s="21" t="s">
        <x:v>40</x:v>
      </x:c>
      <x:c r="W1" s="102" t="s">
        <x:v>41</x:v>
      </x:c>
      <x:c r="X1" s="23" t="s">
        <x:v>42</x:v>
      </x:c>
      <x:c r="Y1" s="22" t="s">
        <x:v>22</x:v>
      </x:c>
      <x:c r="Z1" s="24" t="s">
        <x:v>23</x:v>
      </x:c>
      <x:c r="AA1" s="24" t="s">
        <x:v>24</x:v>
      </x:c>
    </x:row>
    <x:row r="2" ht="28">
      <x:c r="A2" s="25"/>
      <x:c r="B2" s="26"/>
      <x:c r="C2" s="26"/>
      <x:c r="D2" s="27"/>
      <x:c r="E2" s="28"/>
      <x:c r="F2" s="28"/>
      <x:c r="G2" s="29"/>
      <x:c r="H2" s="30"/>
      <x:c r="I2" s="31" t="s">
        <x:v>8</x:v>
      </x:c>
      <x:c r="J2" s="32" t="s">
        <x:v>43</x:v>
      </x:c>
      <x:c r="K2" s="33" t="s">
        <x:v>25</x:v>
      </x:c>
      <x:c r="L2" s="34" t="s">
        <x:v>26</x:v>
      </x:c>
      <x:c r="M2" s="34" t="s">
        <x:v>27</x:v>
      </x:c>
      <x:c r="N2" s="34" t="s">
        <x:v>28</x:v>
      </x:c>
      <x:c r="O2" s="35" t="s">
        <x:v>29</x:v>
      </x:c>
      <x:c r="P2" s="34" t="s">
        <x:v>30</x:v>
      </x:c>
      <x:c r="Q2" s="35" t="s">
        <x:v>44</x:v>
      </x:c>
      <x:c r="R2" s="35" t="s">
        <x:v>45</x:v>
      </x:c>
      <x:c r="S2" s="34" t="s">
        <x:v>33</x:v>
      </x:c>
      <x:c r="T2" s="34" t="s">
        <x:v>34</x:v>
      </x:c>
      <x:c r="U2" s="36" t="s">
        <x:v>46</x:v>
      </x:c>
      <x:c r="V2" s="37" t="s">
        <x:v>47</x:v>
      </x:c>
      <x:c r="W2" s="38" t="s">
        <x:v>48</x:v>
      </x:c>
      <x:c r="X2" s="39" t="s">
        <x:v>49</x:v>
      </x:c>
      <x:c r="Y2" s="40" t="s">
        <x:v>50</x:v>
      </x:c>
      <x:c r="Z2" s="26"/>
      <x:c r="AA2" s="26"/>
    </x:row>
    <x:row r="3" s="2" customFormat="1" ht="114" customHeight="1">
      <x:c r="A3" s="41"/>
      <x:c r="B3" s="42"/>
      <x:c r="C3" s="43" t="s">
        <x:v>51</x:v>
      </x:c>
      <x:c r="D3" s="44"/>
      <x:c r="E3" s="45"/>
      <x:c r="F3" s="42"/>
      <x:c r="G3" s="46"/>
      <x:c r="H3" s="47"/>
      <x:c r="I3" s="48">
        <x:v>45658</x:v>
      </x:c>
      <x:c r="J3" s="49">
        <x:v>45747</x:v>
      </x:c>
      <x:c r="K3" s="50" t="n">
        <x:f>J3-I3+1</x:f>
        <x:v>90</x:v>
      </x:c>
      <x:c r="L3" s="51">
        <x:v>1000000</x:v>
      </x:c>
      <x:c r="M3" s="52">
        <x:v>0</x:v>
      </x:c>
      <x:c r="N3" s="53">
        <x:v>0</x:v>
      </x:c>
      <x:c r="O3" s="53" t="n">
        <x:f>M3-N3</x:f>
        <x:v>0</x:v>
      </x:c>
      <x:c r="P3" s="51">
        <x:v>1050000</x:v>
      </x:c>
      <x:c r="Q3" s="51" t="n">
        <x:f>P3-L3-O3</x:f>
        <x:v>50000</x:v>
      </x:c>
      <x:c r="R3" s="54" t="n">
        <x:f>(P3-S3-O3)/((L3+P3)/2)</x:f>
        <x:v>0.04878048780487805</x:v>
      </x:c>
      <x:c r="S3" s="53">
        <x:v>1000000</x:v>
      </x:c>
      <x:c r="T3" s="53" t="n">
        <x:f>S3+O3</x:f>
        <x:v>1000000</x:v>
      </x:c>
      <x:c r="U3" s="53" t="n">
        <x:f>(S3+P3)/2</x:f>
        <x:v>1025000</x:v>
      </x:c>
      <x:c r="V3" s="55">
        <x:v>0.06</x:v>
      </x:c>
      <x:c r="W3" s="56" t="n">
        <x:f>U3*V3/365*K3</x:f>
        <x:v>15164.383561643834</x:v>
      </x:c>
      <x:c r="X3" s="56" t="n">
        <x:f>IF((P3-S3-O3-W3)&lt;=0,0,IF((P3-S3-O3-W3)&gt;0,(P3-S3-O3-W3)))</x:f>
        <x:v>34835.61643835617</x:v>
      </x:c>
      <x:c r="Y3" s="56" t="n">
        <x:f>MAX(P3,S3+O3+W3)</x:f>
        <x:v>1050000</x:v>
      </x:c>
      <x:c r="Z3" s="57"/>
      <x:c r="AA3" s="58"/>
      <x:c r="AB3" s="59"/>
    </x:row>
    <x:row r="4" s="2" customFormat="1" ht="114" customHeight="1">
      <x:c r="A4" s="41"/>
      <x:c r="B4" s="42"/>
      <x:c r="C4" s="43" t="s">
        <x:v>52</x:v>
      </x:c>
      <x:c r="D4" s="44"/>
      <x:c r="E4" s="45"/>
      <x:c r="F4" s="42"/>
      <x:c r="G4" s="46"/>
      <x:c r="H4" s="47"/>
      <x:c r="I4" s="48">
        <x:v>45748</x:v>
      </x:c>
      <x:c r="J4" s="49">
        <x:v>45838</x:v>
      </x:c>
      <x:c r="K4" s="50" t="n">
        <x:f>J4-I4+1</x:f>
        <x:v>91</x:v>
      </x:c>
      <x:c r="L4" s="51">
        <x:v>1050000</x:v>
      </x:c>
      <x:c r="M4" s="52">
        <x:v>0</x:v>
      </x:c>
      <x:c r="N4" s="53">
        <x:v>0</x:v>
      </x:c>
      <x:c r="O4" s="53" t="n">
        <x:f>M4-N4</x:f>
        <x:v>0</x:v>
      </x:c>
      <x:c r="P4" s="51">
        <x:v>1081500</x:v>
      </x:c>
      <x:c r="Q4" s="51" t="n">
        <x:f>P4-L4-O4</x:f>
        <x:v>31500</x:v>
      </x:c>
      <x:c r="R4" s="54" t="n">
        <x:f>(P4-S4-O4)/((L4+P4)/2)</x:f>
        <x:v>0.029556650246305417</x:v>
      </x:c>
      <x:c r="S4" s="53">
        <x:v>1050000</x:v>
      </x:c>
      <x:c r="T4" s="53" t="n">
        <x:f>S4+O4</x:f>
        <x:v>1050000</x:v>
      </x:c>
      <x:c r="U4" s="53" t="n">
        <x:f>(S4+P4)/2</x:f>
        <x:v>1065750</x:v>
      </x:c>
      <x:c r="V4" s="55">
        <x:v>0.06</x:v>
      </x:c>
      <x:c r="W4" s="56" t="n">
        <x:f>U4*V4/365*K4</x:f>
        <x:v>15942.45205479452</x:v>
      </x:c>
      <x:c r="X4" s="56" t="n">
        <x:f>IF((P4-S4-O4-W4)&lt;=0,0,IF((P4-S4-O4-W4)&gt;0,(P4-S4-O4-W4)))</x:f>
        <x:v>15557.54794520548</x:v>
      </x:c>
      <x:c r="Y4" s="56" t="n">
        <x:f>MAX(P4,S4+O4+W4)</x:f>
        <x:v>1081500</x:v>
      </x:c>
      <x:c r="Z4" s="57"/>
      <x:c r="AA4" s="58"/>
      <x:c r="AB4" s="59"/>
    </x:row>
    <x:row r="5" s="2" customFormat="1" ht="114" customHeight="1">
      <x:c r="A5" s="41"/>
      <x:c r="B5" s="42"/>
      <x:c r="C5" s="43" t="s">
        <x:v>53</x:v>
      </x:c>
      <x:c r="D5" s="44"/>
      <x:c r="E5" s="45"/>
      <x:c r="F5" s="42"/>
      <x:c r="G5" s="46"/>
      <x:c r="H5" s="47"/>
      <x:c r="I5" s="48">
        <x:v>45839</x:v>
      </x:c>
      <x:c r="J5" s="49">
        <x:v>45930</x:v>
      </x:c>
      <x:c r="K5" s="50" t="n">
        <x:f>J5-I5+1</x:f>
        <x:v>92</x:v>
      </x:c>
      <x:c r="L5" s="51">
        <x:v>1081500</x:v>
      </x:c>
      <x:c r="M5" s="52">
        <x:v>0</x:v>
      </x:c>
      <x:c r="N5" s="53">
        <x:v>0</x:v>
      </x:c>
      <x:c r="O5" s="53" t="n">
        <x:f>M5-N5</x:f>
        <x:v>0</x:v>
      </x:c>
      <x:c r="P5" s="51">
        <x:v>1124760</x:v>
      </x:c>
      <x:c r="Q5" s="51" t="n">
        <x:f>P5-L5-O5</x:f>
        <x:v>43260</x:v>
      </x:c>
      <x:c r="R5" s="54" t="n">
        <x:f>(P5-S5-O5)/((L5+P5)/2)</x:f>
        <x:v>0.0392156862745098</x:v>
      </x:c>
      <x:c r="S5" s="53">
        <x:v>1081500</x:v>
      </x:c>
      <x:c r="T5" s="53" t="n">
        <x:f>S5+O5</x:f>
        <x:v>1081500</x:v>
      </x:c>
      <x:c r="U5" s="53" t="n">
        <x:f>(S5+P5)/2</x:f>
        <x:v>1103130</x:v>
      </x:c>
      <x:c r="V5" s="55">
        <x:v>0.06</x:v>
      </x:c>
      <x:c r="W5" s="56" t="n">
        <x:f>U5*V5/365*K5</x:f>
        <x:v>16682.952328767125</x:v>
      </x:c>
      <x:c r="X5" s="56" t="n">
        <x:f>IF((P5-S5-O5-W5)&lt;=0,0,IF((P5-S5-O5-W5)&gt;0,(P5-S5-O5-W5)))</x:f>
        <x:v>26577.047671232875</x:v>
      </x:c>
      <x:c r="Y5" s="56" t="n">
        <x:f>MAX(P5,S5+O5+W5)</x:f>
        <x:v>1124760</x:v>
      </x:c>
      <x:c r="Z5" s="57"/>
      <x:c r="AA5" s="58"/>
      <x:c r="AB5" s="59"/>
    </x:row>
    <x:row r="6" s="2" customFormat="1" ht="114" customHeight="1">
      <x:c r="A6" s="41"/>
      <x:c r="B6" s="42"/>
      <x:c r="C6" s="43" t="s">
        <x:v>54</x:v>
      </x:c>
      <x:c r="D6" s="44"/>
      <x:c r="E6" s="45"/>
      <x:c r="F6" s="42"/>
      <x:c r="G6" s="46"/>
      <x:c r="H6" s="47"/>
      <x:c r="I6" s="48">
        <x:v>45931</x:v>
      </x:c>
      <x:c r="J6" s="49">
        <x:v>46022</x:v>
      </x:c>
      <x:c r="K6" s="50" t="n">
        <x:f>J6-I6+1</x:f>
        <x:v>92</x:v>
      </x:c>
      <x:c r="L6" s="51">
        <x:v>1124760</x:v>
      </x:c>
      <x:c r="M6" s="52">
        <x:v>0</x:v>
      </x:c>
      <x:c r="N6" s="53">
        <x:v>0</x:v>
      </x:c>
      <x:c r="O6" s="53" t="n">
        <x:f>M6-N6</x:f>
        <x:v>0</x:v>
      </x:c>
      <x:c r="P6" s="51">
        <x:v>1180998</x:v>
      </x:c>
      <x:c r="Q6" s="51" t="n">
        <x:f>P6-L6-O6</x:f>
        <x:v>56238</x:v>
      </x:c>
      <x:c r="R6" s="54" t="n">
        <x:f>(P6-S6-O6)/((L6+P6)/2)</x:f>
        <x:v>0.04878048780487805</x:v>
      </x:c>
      <x:c r="S6" s="53">
        <x:v>1124760</x:v>
      </x:c>
      <x:c r="T6" s="53" t="n">
        <x:f>S6+O6</x:f>
        <x:v>1124760</x:v>
      </x:c>
      <x:c r="U6" s="53" t="n">
        <x:f>(S6+P6)/2</x:f>
        <x:v>1152879</x:v>
      </x:c>
      <x:c r="V6" s="55">
        <x:v>0.06</x:v>
      </x:c>
      <x:c r="W6" s="56" t="n">
        <x:f>U6*V6/365*K6</x:f>
        <x:v>17435.320767123285</x:v>
      </x:c>
      <x:c r="X6" s="56" t="n">
        <x:f>IF((P6-S6-O6-W6)&lt;=0,0,IF((P6-S6-O6-W6)&gt;0,(P6-S6-O6-W6)))</x:f>
        <x:v>38802.67923287672</x:v>
      </x:c>
      <x:c r="Y6" s="56" t="n">
        <x:f>MAX(P6,S6+O6+W6)</x:f>
        <x:v>1180998</x:v>
      </x:c>
      <x:c r="Z6" s="57"/>
      <x:c r="AA6" s="60"/>
      <x:c r="AB6" s="59"/>
    </x:row>
  </x:sheetData>
  <x:conditionalFormatting sqref="J3:J6">
    <x:cfRule type="cellIs" dxfId="0" priority="7" operator="notEqual">
      <x:formula>#REF!</x:formula>
    </x:cfRule>
  </x:conditionalFormatting>
  <x:pageMargins left="0.7" right="0.7" top="0.75" bottom="0.75" header="0.3" footer="0.3"/>
</x:worksheet>
</file>